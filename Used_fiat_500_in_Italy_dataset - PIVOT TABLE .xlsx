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https://d.docs.live.net/d1d0f3330ccb2dba/CANADA/Mentorship/Cynthia/project/"/>
    </mc:Choice>
  </mc:AlternateContent>
  <xr:revisionPtr revIDLastSave="33" documentId="8_{3EF438C5-919A-4177-AAF8-94320AC966CD}" xr6:coauthVersionLast="47" xr6:coauthVersionMax="47" xr10:uidLastSave="{B426047A-36F4-476B-91C9-8FE4695D134F}"/>
  <bookViews>
    <workbookView minimized="1" xWindow="3828" yWindow="3828" windowWidth="7500" windowHeight="6000" firstSheet="3" activeTab="7" xr2:uid="{A6A2DD0B-31D8-4658-9954-9B60CD962307}"/>
  </bookViews>
  <sheets>
    <sheet name="Used_fiat_500_in_Italy_dataset" sheetId="1" r:id="rId1"/>
    <sheet name="Mileage by brand" sheetId="2" r:id="rId2"/>
    <sheet name="Mileage by year" sheetId="5" r:id="rId3"/>
    <sheet name="Years driven by model" sheetId="7" r:id="rId4"/>
    <sheet name="Kilometer by Engine Power" sheetId="8" r:id="rId5"/>
    <sheet name="Owner change" sheetId="9" r:id="rId6"/>
    <sheet name="Cost by brand " sheetId="6" r:id="rId7"/>
    <sheet name="DASHBOARD" sheetId="10" r:id="rId8"/>
  </sheets>
  <definedNames>
    <definedName name="_xlnm._FilterDatabase" localSheetId="0" hidden="1">Used_fiat_500_in_Italy_dataset!$C$1:$C$381</definedName>
    <definedName name="Slicer_Model">#N/A</definedName>
    <definedName name="Slicer_Transmission">#N/A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1" l="1"/>
  <c r="R2" i="1"/>
  <c r="O17" i="1" a="1"/>
  <c r="O17" i="1" s="1"/>
  <c r="O18" i="1" a="1"/>
  <c r="O18" i="1" s="1"/>
  <c r="O19" i="1" a="1"/>
  <c r="O19" i="1" s="1"/>
  <c r="O20" i="1" a="1"/>
  <c r="O20" i="1" s="1"/>
  <c r="O21" i="1" a="1"/>
  <c r="O21" i="1" s="1"/>
  <c r="O22" i="1" a="1"/>
  <c r="O22" i="1" s="1"/>
  <c r="O16" i="1" a="1"/>
  <c r="O16" i="1" s="1"/>
  <c r="O14" i="1"/>
  <c r="O15" i="1"/>
  <c r="O12" i="1"/>
  <c r="O13" i="1"/>
  <c r="O11" i="1"/>
  <c r="O10" i="1"/>
  <c r="O9" i="1"/>
  <c r="O8" i="1"/>
  <c r="O7"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2" i="1"/>
  <c r="O5" i="1"/>
  <c r="O4" i="1"/>
  <c r="O3" i="1"/>
  <c r="O2"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2" i="1"/>
  <c r="O6" i="1" l="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<sst xmlns="http://schemas.openxmlformats.org/spreadsheetml/2006/main" count="1577" uniqueCount="511">
  <si>
    <t>pop</t>
  </si>
  <si>
    <t>manual</t>
  </si>
  <si>
    <t>45.07107925415039</t>
  </si>
  <si>
    <t>7.464029788970947</t>
  </si>
  <si>
    <t>lounge</t>
  </si>
  <si>
    <t>45.069679260253906</t>
  </si>
  <si>
    <t>7.704919815063477</t>
  </si>
  <si>
    <t>automatic</t>
  </si>
  <si>
    <t>45.51459884643555</t>
  </si>
  <si>
    <t>9.284339904785156</t>
  </si>
  <si>
    <t>sport</t>
  </si>
  <si>
    <t>41.903221130371094</t>
  </si>
  <si>
    <t>12.495650291442871</t>
  </si>
  <si>
    <t>45.53266143798828</t>
  </si>
  <si>
    <t>9.038920402526855</t>
  </si>
  <si>
    <t>14.591919898986816</t>
  </si>
  <si>
    <t>41.72669982910156</t>
  </si>
  <si>
    <t>13.00979995727539</t>
  </si>
  <si>
    <t>45.05659866333008</t>
  </si>
  <si>
    <t>9.701760292053223</t>
  </si>
  <si>
    <t>45.32979965209961</t>
  </si>
  <si>
    <t>10.126799583435059</t>
  </si>
  <si>
    <t>45.467960357666016</t>
  </si>
  <si>
    <t>9.181779861450195</t>
  </si>
  <si>
    <t>45.75735855102539</t>
  </si>
  <si>
    <t>45.57122039794922</t>
  </si>
  <si>
    <t>9.159139633178711</t>
  </si>
  <si>
    <t>41.450721740722656</t>
  </si>
  <si>
    <t>12.625020027160645</t>
  </si>
  <si>
    <t>45.350799560546875</t>
  </si>
  <si>
    <t>11.466090202331543</t>
  </si>
  <si>
    <t>43.78451156616211</t>
  </si>
  <si>
    <t>10.924659729003906</t>
  </si>
  <si>
    <t>43.782371520996094</t>
  </si>
  <si>
    <t>11.254989624023438</t>
  </si>
  <si>
    <t>45.62813186645508</t>
  </si>
  <si>
    <t>9.045459747314453</t>
  </si>
  <si>
    <t>45.558441162109375</t>
  </si>
  <si>
    <t>12.234600067138672</t>
  </si>
  <si>
    <t>45.536590576171875</t>
  </si>
  <si>
    <t>10.232040405273438</t>
  </si>
  <si>
    <t>45.49802017211914</t>
  </si>
  <si>
    <t>9.673330307006836</t>
  </si>
  <si>
    <t>45.06312942504883</t>
  </si>
  <si>
    <t>7.5767998695373535</t>
  </si>
  <si>
    <t>44.75489044189453</t>
  </si>
  <si>
    <t>8.031900405883789</t>
  </si>
  <si>
    <t>40.84014129638672</t>
  </si>
  <si>
    <t>14.252260208129883</t>
  </si>
  <si>
    <t>44.92013931274414</t>
  </si>
  <si>
    <t>7.844590187072754</t>
  </si>
  <si>
    <t>45.666358947753906</t>
  </si>
  <si>
    <t>12.241889953613281</t>
  </si>
  <si>
    <t>40.835811614990234</t>
  </si>
  <si>
    <t>14.504409790039062</t>
  </si>
  <si>
    <t>45.53200149536133</t>
  </si>
  <si>
    <t>9.281530380249023</t>
  </si>
  <si>
    <t>12.598930358886719</t>
  </si>
  <si>
    <t>45.61869812011719</t>
  </si>
  <si>
    <t>8.947460174560547</t>
  </si>
  <si>
    <t>45.19940948486328</t>
  </si>
  <si>
    <t>7.774429798126221</t>
  </si>
  <si>
    <t>45.556549072265625</t>
  </si>
  <si>
    <t>9.534469604492188</t>
  </si>
  <si>
    <t>45.15171813964844</t>
  </si>
  <si>
    <t>7.655439853668213</t>
  </si>
  <si>
    <t>10.720359802246094</t>
  </si>
  <si>
    <t>45.62984848022461</t>
  </si>
  <si>
    <t>9.155119895935059</t>
  </si>
  <si>
    <t>40.92258834838867</t>
  </si>
  <si>
    <t>14.228730201721191</t>
  </si>
  <si>
    <t>44.55339050292969</t>
  </si>
  <si>
    <t>11.447990417480469</t>
  </si>
  <si>
    <t>45.74602127075195</t>
  </si>
  <si>
    <t>9.049969673156738</t>
  </si>
  <si>
    <t>45.436100006103516</t>
  </si>
  <si>
    <t>8.887869834899902</t>
  </si>
  <si>
    <t>45.695831298828125</t>
  </si>
  <si>
    <t>9.180390357971191</t>
  </si>
  <si>
    <t>45.697208404541016</t>
  </si>
  <si>
    <t>9.845970153808594</t>
  </si>
  <si>
    <t>46.07004928588867</t>
  </si>
  <si>
    <t>11.11925983428955</t>
  </si>
  <si>
    <t>45.35152816772461</t>
  </si>
  <si>
    <t>10.844090461730957</t>
  </si>
  <si>
    <t>44.402618408203125</t>
  </si>
  <si>
    <t>11.249279975891113</t>
  </si>
  <si>
    <t>44.15834045410156</t>
  </si>
  <si>
    <t>10.975560188293457</t>
  </si>
  <si>
    <t>45.02238845825195</t>
  </si>
  <si>
    <t>7.586019992828369</t>
  </si>
  <si>
    <t>45.40943908691406</t>
  </si>
  <si>
    <t>11.871709823608398</t>
  </si>
  <si>
    <t>45.39360046386719</t>
  </si>
  <si>
    <t>10.482239723205566</t>
  </si>
  <si>
    <t>star</t>
  </si>
  <si>
    <t>44.988739013671875</t>
  </si>
  <si>
    <t>9.010499954223633</t>
  </si>
  <si>
    <t>10.008020401000977</t>
  </si>
  <si>
    <t>45.55812072753906</t>
  </si>
  <si>
    <t>14.453410148620605</t>
  </si>
  <si>
    <t>41.68928146362305</t>
  </si>
  <si>
    <t>13.254940032958984</t>
  </si>
  <si>
    <t>45.58087921142578</t>
  </si>
  <si>
    <t>12.369370460510254</t>
  </si>
  <si>
    <t>12.22085952758789</t>
  </si>
  <si>
    <t>41.00551986694336</t>
  </si>
  <si>
    <t>15.072779655456543</t>
  </si>
  <si>
    <t>11.588330268859863</t>
  </si>
  <si>
    <t>45.372161865234375</t>
  </si>
  <si>
    <t>45.58409118652344</t>
  </si>
  <si>
    <t>9.270959854125977</t>
  </si>
  <si>
    <t>45.851661682128906</t>
  </si>
  <si>
    <t>45.71549987792969</t>
  </si>
  <si>
    <t>9.208219528198242</t>
  </si>
  <si>
    <t>8.938980102539062</t>
  </si>
  <si>
    <t>45.37080001831055</t>
  </si>
  <si>
    <t>10.023200035095215</t>
  </si>
  <si>
    <t>8.199939727783203</t>
  </si>
  <si>
    <t>45.776588439941406</t>
  </si>
  <si>
    <t>12.047300338745117</t>
  </si>
  <si>
    <t>45.81071090698242</t>
  </si>
  <si>
    <t>9.087149620056152</t>
  </si>
  <si>
    <t>45.14113998413086</t>
  </si>
  <si>
    <t>43.544498443603516</t>
  </si>
  <si>
    <t>11.040300369262695</t>
  </si>
  <si>
    <t>41.76905059814453</t>
  </si>
  <si>
    <t>12.662810325622559</t>
  </si>
  <si>
    <t>44.63998031616211</t>
  </si>
  <si>
    <t>8.644689559936523</t>
  </si>
  <si>
    <t>45.13652038574219</t>
  </si>
  <si>
    <t>7.771669864654541</t>
  </si>
  <si>
    <t>10.353529930114746</t>
  </si>
  <si>
    <t>12.816699981689453</t>
  </si>
  <si>
    <t>44.03533172607422</t>
  </si>
  <si>
    <t>10.139490127563477</t>
  </si>
  <si>
    <t>45.65016174316406</t>
  </si>
  <si>
    <t>9.674440383911133</t>
  </si>
  <si>
    <t>45.16025161743164</t>
  </si>
  <si>
    <t>9.137539863586426</t>
  </si>
  <si>
    <t>46.30955123901367</t>
  </si>
  <si>
    <t>9.384129524230957</t>
  </si>
  <si>
    <t>45.08150100708008</t>
  </si>
  <si>
    <t>8.135370254516602</t>
  </si>
  <si>
    <t>41.114261627197266</t>
  </si>
  <si>
    <t>16.48571014404297</t>
  </si>
  <si>
    <t>45.165409088134766</t>
  </si>
  <si>
    <t>10.792420387268066</t>
  </si>
  <si>
    <t>45.70170974731445</t>
  </si>
  <si>
    <t>9.604700088500977</t>
  </si>
  <si>
    <t>45.65658950805664</t>
  </si>
  <si>
    <t>9.721229553222656</t>
  </si>
  <si>
    <t>12.004449844360352</t>
  </si>
  <si>
    <t>45.503299713134766</t>
  </si>
  <si>
    <t>11.417840003967285</t>
  </si>
  <si>
    <t>45.67483901977539</t>
  </si>
  <si>
    <t>9.687859535217285</t>
  </si>
  <si>
    <t>41.152061462402344</t>
  </si>
  <si>
    <t>15.083089828491211</t>
  </si>
  <si>
    <t>40.83258819580078</t>
  </si>
  <si>
    <t>14.845890045166016</t>
  </si>
  <si>
    <t>9.203949928283691</t>
  </si>
  <si>
    <t>45.40964126586914</t>
  </si>
  <si>
    <t>12.005359649658203</t>
  </si>
  <si>
    <t>45.63330841064453</t>
  </si>
  <si>
    <t>9.587340354919434</t>
  </si>
  <si>
    <t>44.95832061767578</t>
  </si>
  <si>
    <t>7.5128397941589355</t>
  </si>
  <si>
    <t>45.058021545410156</t>
  </si>
  <si>
    <t>9.549630165100098</t>
  </si>
  <si>
    <t>12.507940292358398</t>
  </si>
  <si>
    <t>45.53316879272461</t>
  </si>
  <si>
    <t>10.376959800720215</t>
  </si>
  <si>
    <t>45.501338958740234</t>
  </si>
  <si>
    <t>43.979393005371094</t>
  </si>
  <si>
    <t>12.478236198425293</t>
  </si>
  <si>
    <t>44.929840087890625</t>
  </si>
  <si>
    <t>9.017000198364258</t>
  </si>
  <si>
    <t>43.75939178466797</t>
  </si>
  <si>
    <t>10.880620002746582</t>
  </si>
  <si>
    <t>43.86867141723633</t>
  </si>
  <si>
    <t>10.813209533691406</t>
  </si>
  <si>
    <t>37.60639953613281</t>
  </si>
  <si>
    <t>12.723440170288086</t>
  </si>
  <si>
    <t>43.881378173828125</t>
  </si>
  <si>
    <t>10.235260009765625</t>
  </si>
  <si>
    <t>45.606971740722656</t>
  </si>
  <si>
    <t>9.629229545593262</t>
  </si>
  <si>
    <t>45.51919937133789</t>
  </si>
  <si>
    <t>40.94717025756836</t>
  </si>
  <si>
    <t>14.372540473937988</t>
  </si>
  <si>
    <t>14.152549743652344</t>
  </si>
  <si>
    <t>43.81578826904297</t>
  </si>
  <si>
    <t>45.03190994262695</t>
  </si>
  <si>
    <t>9.241109848022461</t>
  </si>
  <si>
    <t>46.36450958251953</t>
  </si>
  <si>
    <t>11.035550117492676</t>
  </si>
  <si>
    <t>40.92850112915039</t>
  </si>
  <si>
    <t>14.203669548034668</t>
  </si>
  <si>
    <t>45.591670989990234</t>
  </si>
  <si>
    <t>10.153779983520508</t>
  </si>
  <si>
    <t>38.48971939086914</t>
  </si>
  <si>
    <t>15.973919868469238</t>
  </si>
  <si>
    <t>43.111358642578125</t>
  </si>
  <si>
    <t>12.383919715881348</t>
  </si>
  <si>
    <t>45.23830032348633</t>
  </si>
  <si>
    <t>11.752240180969238</t>
  </si>
  <si>
    <t>45.43687057495117</t>
  </si>
  <si>
    <t>12.131600379943848</t>
  </si>
  <si>
    <t>45.454158782958984</t>
  </si>
  <si>
    <t>9.388779640197754</t>
  </si>
  <si>
    <t>43.52069854736328</t>
  </si>
  <si>
    <t>13.238080024719238</t>
  </si>
  <si>
    <t>12.031149864196777</t>
  </si>
  <si>
    <t>43.37266159057617</t>
  </si>
  <si>
    <t>13.219809532165527</t>
  </si>
  <si>
    <t>45.574031829833984</t>
  </si>
  <si>
    <t>10.526920318603516</t>
  </si>
  <si>
    <t>45.548221588134766</t>
  </si>
  <si>
    <t>9.186090469360352</t>
  </si>
  <si>
    <t>44.94935989379883</t>
  </si>
  <si>
    <t>7.636569976806641</t>
  </si>
  <si>
    <t>42.766090393066406</t>
  </si>
  <si>
    <t>11.117250442504883</t>
  </si>
  <si>
    <t>45.63045883178711</t>
  </si>
  <si>
    <t>9.274069786071777</t>
  </si>
  <si>
    <t>11.619440078735352</t>
  </si>
  <si>
    <t>42.080509185791016</t>
  </si>
  <si>
    <t>12.400309562683105</t>
  </si>
  <si>
    <t>45.81626892089844</t>
  </si>
  <si>
    <t>8.248129844665527</t>
  </si>
  <si>
    <t>45.03968811035156</t>
  </si>
  <si>
    <t>11.789959907531738</t>
  </si>
  <si>
    <t>44.643131256103516</t>
  </si>
  <si>
    <t>10.934060096740723</t>
  </si>
  <si>
    <t>45.45331954956055</t>
  </si>
  <si>
    <t>10.409669876098633</t>
  </si>
  <si>
    <t>45.59627914428711</t>
  </si>
  <si>
    <t>8.954930305480957</t>
  </si>
  <si>
    <t>45.67852020263672</t>
  </si>
  <si>
    <t>9.114620208740234</t>
  </si>
  <si>
    <t>45.000701904296875</t>
  </si>
  <si>
    <t>7.682270050048828</t>
  </si>
  <si>
    <t>45.44327163696289</t>
  </si>
  <si>
    <t>10.230210304260254</t>
  </si>
  <si>
    <t>45.47121810913086</t>
  </si>
  <si>
    <t>7.945320129394531</t>
  </si>
  <si>
    <t>45.62141036987305</t>
  </si>
  <si>
    <t>12.45398998260498</t>
  </si>
  <si>
    <t>44.69559097290039</t>
  </si>
  <si>
    <t>10.641249656677246</t>
  </si>
  <si>
    <t>42.42094039916992</t>
  </si>
  <si>
    <t>12.109820365905762</t>
  </si>
  <si>
    <t>45.40547180175781</t>
  </si>
  <si>
    <t>10.278289794921875</t>
  </si>
  <si>
    <t>45.57223129272461</t>
  </si>
  <si>
    <t>9.421950340270996</t>
  </si>
  <si>
    <t>41.15193176269531</t>
  </si>
  <si>
    <t>16.416719436645508</t>
  </si>
  <si>
    <t>45.66228103637695</t>
  </si>
  <si>
    <t>45.58345031738281</t>
  </si>
  <si>
    <t>9.488249778747559</t>
  </si>
  <si>
    <t>45.59859848022461</t>
  </si>
  <si>
    <t>9.164039611816406</t>
  </si>
  <si>
    <t>45.63243103027344</t>
  </si>
  <si>
    <t>8.888850212097168</t>
  </si>
  <si>
    <t>45.51148986816406</t>
  </si>
  <si>
    <t>10.114720344543457</t>
  </si>
  <si>
    <t>45.70724868774414</t>
  </si>
  <si>
    <t>11.47760009765625</t>
  </si>
  <si>
    <t>42.717350006103516</t>
  </si>
  <si>
    <t>12.10457992553711</t>
  </si>
  <si>
    <t>43.85586929321289</t>
  </si>
  <si>
    <t>10.567410469055176</t>
  </si>
  <si>
    <t>45.725730895996094</t>
  </si>
  <si>
    <t>8.635490417480469</t>
  </si>
  <si>
    <t>43.61848831176758</t>
  </si>
  <si>
    <t>13.508979797363281</t>
  </si>
  <si>
    <t>41.12586975097656</t>
  </si>
  <si>
    <t>16.86665916442871</t>
  </si>
  <si>
    <t>43.758079528808594</t>
  </si>
  <si>
    <t>11.184659957885742</t>
  </si>
  <si>
    <t>45.67472839355469</t>
  </si>
  <si>
    <t>8.739899635314941</t>
  </si>
  <si>
    <t>37.51087188720703</t>
  </si>
  <si>
    <t>13.079710006713867</t>
  </si>
  <si>
    <t>8.994500160217285</t>
  </si>
  <si>
    <t>38.42675018310547</t>
  </si>
  <si>
    <t>15.89861011505127</t>
  </si>
  <si>
    <t>43.33272171020508</t>
  </si>
  <si>
    <t>11.719329833984375</t>
  </si>
  <si>
    <t>44.102020263671875</t>
  </si>
  <si>
    <t>9.820240020751953</t>
  </si>
  <si>
    <t>45.320011138916016</t>
  </si>
  <si>
    <t>10.578590393066406</t>
  </si>
  <si>
    <t>45.783668518066406</t>
  </si>
  <si>
    <t>8.967240333557129</t>
  </si>
  <si>
    <t>46.02119064331055</t>
  </si>
  <si>
    <t>9.238750457763672</t>
  </si>
  <si>
    <t>40.40106964111328</t>
  </si>
  <si>
    <t>15.592869758605957</t>
  </si>
  <si>
    <t>45.70610046386719</t>
  </si>
  <si>
    <t>11.80737018585205</t>
  </si>
  <si>
    <t>44.58037185668945</t>
  </si>
  <si>
    <t>10.731550216674805</t>
  </si>
  <si>
    <t>11.100350379943848</t>
  </si>
  <si>
    <t>45.44013977050781</t>
  </si>
  <si>
    <t>10.689800262451172</t>
  </si>
  <si>
    <t>45.534080505371094</t>
  </si>
  <si>
    <t>10.144610404968262</t>
  </si>
  <si>
    <t>40.96757125854492</t>
  </si>
  <si>
    <t>45.61186981201172</t>
  </si>
  <si>
    <t>12.570039749145508</t>
  </si>
  <si>
    <t>41.265769958496094</t>
  </si>
  <si>
    <t>15.894920349121094</t>
  </si>
  <si>
    <t>45.930721282958984</t>
  </si>
  <si>
    <t>12.729069709777832</t>
  </si>
  <si>
    <t>44.43400955200195</t>
  </si>
  <si>
    <t>10.406539916992188</t>
  </si>
  <si>
    <t>45.06888961791992</t>
  </si>
  <si>
    <t>9.266180038452148</t>
  </si>
  <si>
    <t>45.63404083251953</t>
  </si>
  <si>
    <t>10.194869995117188</t>
  </si>
  <si>
    <t>43.93788146972656</t>
  </si>
  <si>
    <t>12.711130142211914</t>
  </si>
  <si>
    <t>41.319889068603516</t>
  </si>
  <si>
    <t>16.279199600219727</t>
  </si>
  <si>
    <t>43.467830657958984</t>
  </si>
  <si>
    <t>11.143449783325195</t>
  </si>
  <si>
    <t>44.97993850708008</t>
  </si>
  <si>
    <t>11.979439735412598</t>
  </si>
  <si>
    <t>44.443519592285156</t>
  </si>
  <si>
    <t>11.479880332946777</t>
  </si>
  <si>
    <t>45.43830108642578</t>
  </si>
  <si>
    <t>10.991700172424316</t>
  </si>
  <si>
    <t>9.128809928894043</t>
  </si>
  <si>
    <t>45.737510681152344</t>
  </si>
  <si>
    <t>7.320720195770264</t>
  </si>
  <si>
    <t>44.236080169677734</t>
  </si>
  <si>
    <t>9.723910331726074</t>
  </si>
  <si>
    <t>45.77690887451172</t>
  </si>
  <si>
    <t>8.886119842529297</t>
  </si>
  <si>
    <t>11.009570121765137</t>
  </si>
  <si>
    <t>45.577781677246094</t>
  </si>
  <si>
    <t>9.026339530944824</t>
  </si>
  <si>
    <t>44.717838287353516</t>
  </si>
  <si>
    <t>8.287130355834961</t>
  </si>
  <si>
    <t>45.74502182006836</t>
  </si>
  <si>
    <t>12.071880340576172</t>
  </si>
  <si>
    <t>45.695228576660156</t>
  </si>
  <si>
    <t>9.669509887695312</t>
  </si>
  <si>
    <t>43.49468994140625</t>
  </si>
  <si>
    <t>13.081609725952148</t>
  </si>
  <si>
    <t>46.78165054321289</t>
  </si>
  <si>
    <t>11.687529563903809</t>
  </si>
  <si>
    <t>43.623329162597656</t>
  </si>
  <si>
    <t>11.463540077209473</t>
  </si>
  <si>
    <t>41.77008056640625</t>
  </si>
  <si>
    <t>12.227109909057617</t>
  </si>
  <si>
    <t>45.73822021484375</t>
  </si>
  <si>
    <t>11.550100326538086</t>
  </si>
  <si>
    <t>42.17026901245117</t>
  </si>
  <si>
    <t>12.59807014465332</t>
  </si>
  <si>
    <t>45.700599670410156</t>
  </si>
  <si>
    <t>9.208419799804688</t>
  </si>
  <si>
    <t>43.95988845825195</t>
  </si>
  <si>
    <t>10.22819995880127</t>
  </si>
  <si>
    <t>45.07133102416992</t>
  </si>
  <si>
    <t>7.515940189361572</t>
  </si>
  <si>
    <t>45.21854019165039</t>
  </si>
  <si>
    <t>12.278389930725098</t>
  </si>
  <si>
    <t>43.67036819458008</t>
  </si>
  <si>
    <t>10.58292007446289</t>
  </si>
  <si>
    <t>45.94429016113281</t>
  </si>
  <si>
    <t>9.127670288085938</t>
  </si>
  <si>
    <t>45.873451232910156</t>
  </si>
  <si>
    <t>11.947270393371582</t>
  </si>
  <si>
    <t>42.81499099731445</t>
  </si>
  <si>
    <t>10.32472038269043</t>
  </si>
  <si>
    <t>44.90724182128906</t>
  </si>
  <si>
    <t>8.611559867858887</t>
  </si>
  <si>
    <t>44.11574935913086</t>
  </si>
  <si>
    <t>12.33926010131836</t>
  </si>
  <si>
    <t>45.70109939575195</t>
  </si>
  <si>
    <t>9.289250373840332</t>
  </si>
  <si>
    <t>44.65456008911133</t>
  </si>
  <si>
    <t>10.782389640808105</t>
  </si>
  <si>
    <t>45.25823974609375</t>
  </si>
  <si>
    <t>10.73567008972168</t>
  </si>
  <si>
    <t>44.512428283691406</t>
  </si>
  <si>
    <t>11.128379821777344</t>
  </si>
  <si>
    <t>46.49528121948242</t>
  </si>
  <si>
    <t>11.353460311889648</t>
  </si>
  <si>
    <t>13.03258991241455</t>
  </si>
  <si>
    <t>45.733741760253906</t>
  </si>
  <si>
    <t>11.524709701538086</t>
  </si>
  <si>
    <t>45.490631103515625</t>
  </si>
  <si>
    <t>9.294730186462402</t>
  </si>
  <si>
    <t>44.68560028076172</t>
  </si>
  <si>
    <t>8.889610290527344</t>
  </si>
  <si>
    <t>45.51205062866211</t>
  </si>
  <si>
    <t>10.427009582519531</t>
  </si>
  <si>
    <t>42.32231903076172</t>
  </si>
  <si>
    <t>12.053770065307617</t>
  </si>
  <si>
    <t>44.92488098144531</t>
  </si>
  <si>
    <t>7.330989837646484</t>
  </si>
  <si>
    <t>12.033340454101562</t>
  </si>
  <si>
    <t>46.169368743896484</t>
  </si>
  <si>
    <t>9.751649856567383</t>
  </si>
  <si>
    <t>40.357948303222656</t>
  </si>
  <si>
    <t>18.168010711669922</t>
  </si>
  <si>
    <t>40.54890823364258</t>
  </si>
  <si>
    <t>16.22886085510254</t>
  </si>
  <si>
    <t>41.22254943847656</t>
  </si>
  <si>
    <t>16.065959930419922</t>
  </si>
  <si>
    <t>41.21628189086914</t>
  </si>
  <si>
    <t>14.526639938354492</t>
  </si>
  <si>
    <t>43.92198181152344</t>
  </si>
  <si>
    <t>8.103630065917969</t>
  </si>
  <si>
    <t>40.013851165771484</t>
  </si>
  <si>
    <t>18.158649444580078</t>
  </si>
  <si>
    <t>43.06753158569336</t>
  </si>
  <si>
    <t>12.551549911499023</t>
  </si>
  <si>
    <t>45.596500396728516</t>
  </si>
  <si>
    <t>10.108750343322754</t>
  </si>
  <si>
    <t>8.753620147705078</t>
  </si>
  <si>
    <t>45.610050201416016</t>
  </si>
  <si>
    <t>9.242340087890625</t>
  </si>
  <si>
    <t>41.00379943847656</t>
  </si>
  <si>
    <t>16.872940063476562</t>
  </si>
  <si>
    <t>45.81050109863281</t>
  </si>
  <si>
    <t>8.964739799499512</t>
  </si>
  <si>
    <t>44.325889587402344</t>
  </si>
  <si>
    <t>10.837559700012207</t>
  </si>
  <si>
    <t>40.7747802734375</t>
  </si>
  <si>
    <t>Engine_power</t>
  </si>
  <si>
    <t>Transmission</t>
  </si>
  <si>
    <t>Age_in_days</t>
  </si>
  <si>
    <t>Kilometers</t>
  </si>
  <si>
    <t>Previous_owners</t>
  </si>
  <si>
    <t>Latitude</t>
  </si>
  <si>
    <t>Longitude</t>
  </si>
  <si>
    <t>Price</t>
  </si>
  <si>
    <t>Model</t>
  </si>
  <si>
    <t>9.7958402633667</t>
  </si>
  <si>
    <t>9.21360969543457</t>
  </si>
  <si>
    <t>9.18871021270752</t>
  </si>
  <si>
    <t>9.39186954498291</t>
  </si>
  <si>
    <t>9.10807991027832</t>
  </si>
  <si>
    <t>9.20518970489502</t>
  </si>
  <si>
    <t>12.21641</t>
  </si>
  <si>
    <t>9.02571964263916</t>
  </si>
  <si>
    <t>15.1419095993042</t>
  </si>
  <si>
    <t>9.70479965209961</t>
  </si>
  <si>
    <t>7.77584981918335</t>
  </si>
  <si>
    <t>8.6668701171875</t>
  </si>
  <si>
    <t>9.63129997253418</t>
  </si>
  <si>
    <t>14.2079496383667</t>
  </si>
  <si>
    <t>8.85474967956543</t>
  </si>
  <si>
    <t>8.30167007446289</t>
  </si>
  <si>
    <t>9.61596965789795</t>
  </si>
  <si>
    <t>9.82024002075195</t>
  </si>
  <si>
    <t>41.8029899597168</t>
  </si>
  <si>
    <t>45.4656982421875</t>
  </si>
  <si>
    <t>45.3125</t>
  </si>
  <si>
    <t>40.7522087097168</t>
  </si>
  <si>
    <t>45.027099609375</t>
  </si>
  <si>
    <t>43.5505485534668</t>
  </si>
  <si>
    <t>44.4103889465332</t>
  </si>
  <si>
    <t>44.9044303894043</t>
  </si>
  <si>
    <t>46.1634407043457</t>
  </si>
  <si>
    <t>43.61669921875</t>
  </si>
  <si>
    <t>44.2943000793457</t>
  </si>
  <si>
    <t>42.9539794921875</t>
  </si>
  <si>
    <t>45.5896110534668</t>
  </si>
  <si>
    <t>45.03771</t>
  </si>
  <si>
    <t>45.9599609375</t>
  </si>
  <si>
    <t>41.9963493347168</t>
  </si>
  <si>
    <t>40.9994010925293</t>
  </si>
  <si>
    <t>45.8456916809082</t>
  </si>
  <si>
    <t>44.3719596862793</t>
  </si>
  <si>
    <t>44.8383903503418</t>
  </si>
  <si>
    <t>45.7646484375</t>
  </si>
  <si>
    <t>43.8820686340332</t>
  </si>
  <si>
    <t>44.055419921875</t>
  </si>
  <si>
    <t>46.004150390625</t>
  </si>
  <si>
    <t>45.0472412109375</t>
  </si>
  <si>
    <t>44.4782600402832</t>
  </si>
  <si>
    <t>45.5501708984375</t>
  </si>
  <si>
    <t>41.299560546875</t>
  </si>
  <si>
    <t>45.8306884765625</t>
  </si>
  <si>
    <t>45.5997200012207</t>
  </si>
  <si>
    <t>Row Labels</t>
  </si>
  <si>
    <t>Grand Total</t>
  </si>
  <si>
    <t>Sum of Kilometers</t>
  </si>
  <si>
    <t>Sum of Price</t>
  </si>
  <si>
    <t>Column Labels</t>
  </si>
  <si>
    <t>Years</t>
  </si>
  <si>
    <t>Km per year</t>
  </si>
  <si>
    <t>AVERAGEIFS</t>
  </si>
  <si>
    <t>AVERAGEIF</t>
  </si>
  <si>
    <t>AVERAGE</t>
  </si>
  <si>
    <t>IF</t>
  </si>
  <si>
    <t>IFS</t>
  </si>
  <si>
    <t>VLOOKUP</t>
  </si>
  <si>
    <t>Average of Kilometers</t>
  </si>
  <si>
    <t>Count of Previous_owners</t>
  </si>
  <si>
    <t>Sum of Price2</t>
  </si>
  <si>
    <t>Average of Km per year</t>
  </si>
  <si>
    <t>Count of Years</t>
  </si>
  <si>
    <t>SUM,IF,AVERAGE AND 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</si>
</sst>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applyAlignment="1">
      <alignment vertical="center" wrapText="1"/>
    </xf>
    <xf numFmtId="0" fontId="18" fillId="0" borderId="0" xfId="0" applyFont="1" applyAlignment="1">
      <alignment vertical="center"/>
    </xf>
    <xf numFmtId="49" fontId="18" fillId="0" borderId="0" xfId="0" applyNumberFormat="1" applyFont="1" applyAlignment="1">
      <alignment vertical="center"/>
    </xf>
    <xf numFmtId="49" fontId="0" fillId="0" borderId="0" xfId="0" quotePrefix="1" applyNumberFormat="1"/>
    <xf numFmtId="49" fontId="0" fillId="0" borderId="0" xfId="0" applyNumberFormat="1"/>
    <xf numFmtId="0" fontId="0" fillId="0" borderId="0" xfId="0" pivotButton="1"/>
    <xf numFmtId="164" fontId="0" fillId="0" borderId="0" xfId="0" applyNumberFormat="1"/>
    <xf numFmtId="0" fontId="0" fillId="0" borderId="0" xfId="0" applyAlignment="1">
      <alignment horizontal="left"/>
    </xf>
    <xf numFmtId="164" fontId="18" fillId="0" borderId="0" xfId="0" applyNumberFormat="1" applyFont="1" applyAlignment="1">
      <alignment vertical="center"/>
    </xf>
    <xf numFmtId="0" fontId="0" fillId="0" borderId="0" xfId="0" applyAlignment="1">
      <alignment horizontal="left" indent="1"/>
    </xf>
    <xf numFmtId="1" fontId="0" fillId="0" borderId="0" xfId="0" applyNumberFormat="1"/>
    <xf numFmtId="10"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.xlsx]Mileage by brand!PivotTable3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km of cars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9138286893704851"/>
          <c:w val="0.79532526176163465"/>
          <c:h val="0.71573787409700718"/>
        </c:manualLayout>
      </c:layout>
      <c:barChart>
        <c:barDir val="bar"/>
        <c:grouping val="clustered"/>
        <c:varyColors val="0"/>
        <c:ser>
          <c:idx val="0"/>
          <c:order val="0"/>
          <c:tx>
            <c:strRef>
              <c:f>'Mileage by brand'!$B$3</c:f>
              <c:strCache>
                <c:ptCount val="1"/>
                <c:pt idx="0">
                  <c:v>Total</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'Mileage by brand'!$A$4:$A$7</c:f>
              <c:multiLvlStrCache>
                <c:ptCount val="2"/>
                <c:lvl>
                  <c:pt idx="0">
                    <c:v>automatic</c:v>
                  </c:pt>
                  <c:pt idx="1">
                    <c:v>manual</c:v>
                  </c:pt>
                </c:lvl>
                <c:lvl>
                  <c:pt idx="0">
                    <c:v>sport</c:v>
                  </c:pt>
                </c:lvl>
              </c:multiLvlStrCache>
            </c:multiLvlStrRef>
          </c:cat>
          <c:val>
            <c:numRef>
              <c:f>'Mileage by brand'!$B$4:$B$7</c:f>
              <c:numCache>
                <c:formatCode>General</c:formatCode>
                <c:ptCount val="2"/>
                <c:pt idx="0">
                  <c:v>257000</c:v>
                </c:pt>
                <c:pt idx="1">
                  <c:v>7266279</c:v>
                </c:pt>
              </c:numCache>
            </c:numRef>
          </c:val>
          <c:extLst>
            <c:ext xmlns:c16="http://schemas.microsoft.com/office/drawing/2014/chart" uri="{C3380CC4-5D6E-409C-BE32-E72D297353CC}">
              <c16:uniqueId val="{00000002-6198-4A8D-8A76-F287249BC33E}"/>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none"/>
        <c:minorTickMark val="none"/>
        <c:tickLblPos val="nextTo"/>
        <c:crossAx val="1161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.xlsx]Mileage by year!PivotTable3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Mileage</a:t>
            </a:r>
            <a:r>
              <a:rPr lang="en-US" baseline="0"/>
              <a:t> by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4494324045407639"/>
          <c:w val="0.79532526176163465"/>
          <c:h val="0.81893704850361193"/>
        </c:manualLayout>
      </c:layout>
      <c:barChart>
        <c:barDir val="bar"/>
        <c:grouping val="clustered"/>
        <c:varyColors val="0"/>
        <c:ser>
          <c:idx val="0"/>
          <c:order val="0"/>
          <c:tx>
            <c:strRef>
              <c:f>'Mileage by year'!$B$3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'Mileage by year'!$A$4:$A$7</c:f>
              <c:multiLvlStrCache>
                <c:ptCount val="2"/>
                <c:lvl>
                  <c:pt idx="0">
                    <c:v>automatic</c:v>
                  </c:pt>
                  <c:pt idx="1">
                    <c:v>manual</c:v>
                  </c:pt>
                </c:lvl>
                <c:lvl>
                  <c:pt idx="0">
                    <c:v>sport</c:v>
                  </c:pt>
                </c:lvl>
              </c:multiLvlStrCache>
            </c:multiLvlStrRef>
          </c:cat>
          <c:val>
            <c:numRef>
              <c:f>'Mileage by year'!$B$4:$B$7</c:f>
              <c:numCache>
                <c:formatCode>General</c:formatCode>
                <c:ptCount val="2"/>
                <c:pt idx="0">
                  <c:v>10345.525695577311</c:v>
                </c:pt>
                <c:pt idx="1">
                  <c:v>18218.392371427639</c:v>
                </c:pt>
              </c:numCache>
            </c:numRef>
          </c:val>
          <c:extLst>
            <c:ext xmlns:c16="http://schemas.microsoft.com/office/drawing/2014/chart" uri="{C3380CC4-5D6E-409C-BE32-E72D297353CC}">
              <c16:uniqueId val="{00000000-AEAE-4463-AA23-D5DDAF0CA008}"/>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out"/>
        <c:minorTickMark val="none"/>
        <c:tickLblPos val="nextTo"/>
        <c:crossAx val="1161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.xlsx]Years driven by model!PivotTable3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use of cars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9138286893704851"/>
          <c:w val="0.79532526176163465"/>
          <c:h val="0.71573787409700718"/>
        </c:manualLayout>
      </c:layout>
      <c:barChart>
        <c:barDir val="bar"/>
        <c:grouping val="clustered"/>
        <c:varyColors val="0"/>
        <c:ser>
          <c:idx val="0"/>
          <c:order val="0"/>
          <c:tx>
            <c:strRef>
              <c:f>'Years driven by model'!$B$3:$B$4</c:f>
              <c:strCache>
                <c:ptCount val="1"/>
                <c:pt idx="0">
                  <c:v>sport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driven by model'!$A$5:$A$7</c:f>
              <c:strCache>
                <c:ptCount val="2"/>
                <c:pt idx="0">
                  <c:v>automatic</c:v>
                </c:pt>
                <c:pt idx="1">
                  <c:v>manual</c:v>
                </c:pt>
              </c:strCache>
            </c:strRef>
          </c:cat>
          <c:val>
            <c:numRef>
              <c:f>'Years driven by model'!$B$5:$B$7</c:f>
              <c:numCache>
                <c:formatCode>General</c:formatCode>
                <c:ptCount val="2"/>
                <c:pt idx="0">
                  <c:v>2</c:v>
                </c:pt>
                <c:pt idx="1">
                  <c:v>63</c:v>
                </c:pt>
              </c:numCache>
            </c:numRef>
          </c:val>
          <c:extLst>
            <c:ext xmlns:c16="http://schemas.microsoft.com/office/drawing/2014/chart" uri="{C3380CC4-5D6E-409C-BE32-E72D297353CC}">
              <c16:uniqueId val="{00000000-18B9-461E-92BC-1C820682C824}"/>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none"/>
        <c:minorTickMark val="none"/>
        <c:tickLblPos val="nextTo"/>
        <c:crossAx val="1161417631"/>
        <c:crosses val="autoZero"/>
        <c:crossBetween val="between"/>
      </c:valAx>
      <c:spPr>
        <a:solidFill>
          <a:schemeClr val="bg1">
            <a:lumMod val="8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.xlsx]Kilometer by Engine Power!PivotTable3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Km by Engine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pivotFmt>
      <c:pivotFmt>
        <c:idx val="3"/>
        <c:spPr>
          <a:solidFill>
            <a:schemeClr val="tx2">
              <a:lumMod val="50000"/>
              <a:lumOff val="50000"/>
            </a:schemeClr>
          </a:solidFill>
          <a:ln>
            <a:noFill/>
          </a:ln>
          <a:effectLst/>
          <a:sp3d/>
        </c:spPr>
      </c:pivotFmt>
      <c:pivotFmt>
        <c:idx val="4"/>
        <c:spPr>
          <a:solidFill>
            <a:schemeClr val="bg2">
              <a:lumMod val="50000"/>
            </a:schemeClr>
          </a:solidFill>
          <a:ln>
            <a:noFill/>
          </a:ln>
          <a:effectLst/>
          <a:sp3d/>
        </c:spPr>
      </c:pivotFmt>
      <c:pivotFmt>
        <c:idx val="5"/>
        <c:spPr>
          <a:solidFill>
            <a:schemeClr val="accent6">
              <a:lumMod val="60000"/>
              <a:lumOff val="40000"/>
            </a:schemeClr>
          </a:solidFill>
          <a:ln>
            <a:noFill/>
          </a:ln>
          <a:effectLst/>
          <a:sp3d/>
        </c:spPr>
      </c:pivotFmt>
      <c:pivotFmt>
        <c:idx val="6"/>
        <c:spPr>
          <a:solidFill>
            <a:schemeClr val="accent6">
              <a:lumMod val="60000"/>
              <a:lumOff val="40000"/>
            </a:schemeClr>
          </a:solidFill>
          <a:ln>
            <a:noFill/>
          </a:ln>
          <a:effectLst/>
          <a:sp3d/>
        </c:spPr>
      </c:pivotFmt>
      <c:pivotFmt>
        <c:idx val="7"/>
        <c:spPr>
          <a:solidFill>
            <a:schemeClr val="bg1">
              <a:lumMod val="75000"/>
            </a:schemeClr>
          </a:solidFill>
          <a:ln>
            <a:noFill/>
          </a:ln>
          <a:effectLst/>
          <a:sp3d/>
        </c:spPr>
      </c:pivotFmt>
      <c:pivotFmt>
        <c:idx val="8"/>
        <c:spPr>
          <a:solidFill>
            <a:schemeClr val="accent4">
              <a:lumMod val="60000"/>
              <a:lumOff val="40000"/>
            </a:schemeClr>
          </a:solidFill>
          <a:ln>
            <a:noFill/>
          </a:ln>
          <a:effectLst/>
          <a:sp3d/>
        </c:spPr>
      </c:pivotFmt>
    </c:pivotFmts>
    <c:view3D>
      <c:rotX val="15"/>
      <c:rotY val="10"/>
      <c:rAngAx val="0"/>
      <c:perspective val="20"/>
    </c:view3D>
    <c:floor>
      <c:thickness val="0"/>
      <c:spPr>
        <a:noFill/>
        <a:ln>
          <a:noFill/>
        </a:ln>
        <a:effectLst/>
        <a:sp3d/>
      </c:spPr>
    </c:floor>
    <c:sideWall>
      <c:thickness val="0"/>
      <c:spPr>
        <a:solidFill>
          <a:schemeClr val="bg2"/>
        </a:solidFill>
        <a:ln>
          <a:noFill/>
        </a:ln>
        <a:effectLst/>
        <a:sp3d/>
      </c:spPr>
    </c:sideWall>
    <c:backWall>
      <c:thickness val="0"/>
      <c:spPr>
        <a:solidFill>
          <a:schemeClr val="bg2"/>
        </a:solidFill>
        <a:ln>
          <a:noFill/>
        </a:ln>
        <a:effectLst/>
        <a:sp3d/>
      </c:spPr>
    </c:backWall>
    <c:plotArea>
      <c:layout/>
      <c:pie3DChart>
        <c:varyColors val="1"/>
        <c:ser>
          <c:idx val="0"/>
          <c:order val="0"/>
          <c:tx>
            <c:strRef>
              <c:f>'Kilometer by Engine Power'!$B$3</c:f>
              <c:strCache>
                <c:ptCount val="1"/>
                <c:pt idx="0">
                  <c:v>Total</c:v>
                </c:pt>
              </c:strCache>
            </c:strRef>
          </c:tx>
          <c:spPr>
            <a:solidFill>
              <a:schemeClr val="accent4">
                <a:lumMod val="60000"/>
                <a:lumOff val="40000"/>
              </a:schemeClr>
            </a:solidFill>
          </c:spPr>
          <c:dPt>
            <c:idx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1-240F-410A-81D9-EB9B7361E6CC}"/>
              </c:ext>
            </c:extLst>
          </c:dPt>
          <c:dPt>
            <c:idx val="1"/>
            <c:bubble3D val="0"/>
            <c:spPr>
              <a:solidFill>
                <a:schemeClr val="accent6">
                  <a:lumMod val="60000"/>
                  <a:lumOff val="40000"/>
                </a:schemeClr>
              </a:solidFill>
              <a:ln>
                <a:noFill/>
              </a:ln>
              <a:effectLst/>
              <a:sp3d/>
            </c:spPr>
            <c:extLst>
              <c:ext xmlns:c16="http://schemas.microsoft.com/office/drawing/2014/chart" uri="{C3380CC4-5D6E-409C-BE32-E72D297353CC}">
                <c16:uniqueId val="{00000006-981E-49D8-962B-A61C24534EB6}"/>
              </c:ext>
            </c:extLst>
          </c:dPt>
          <c:dPt>
            <c:idx val="2"/>
            <c:bubble3D val="0"/>
            <c:spPr>
              <a:solidFill>
                <a:schemeClr val="accent6">
                  <a:lumMod val="60000"/>
                  <a:lumOff val="40000"/>
                </a:schemeClr>
              </a:solidFill>
              <a:ln>
                <a:noFill/>
              </a:ln>
              <a:effectLst/>
              <a:sp3d/>
            </c:spPr>
            <c:extLst>
              <c:ext xmlns:c16="http://schemas.microsoft.com/office/drawing/2014/chart" uri="{C3380CC4-5D6E-409C-BE32-E72D297353CC}">
                <c16:uniqueId val="{00000005-981E-49D8-962B-A61C24534EB6}"/>
              </c:ext>
            </c:extLst>
          </c:dPt>
          <c:dPt>
            <c:idx val="3"/>
            <c:bubble3D val="0"/>
            <c:spPr>
              <a:solidFill>
                <a:schemeClr val="bg2">
                  <a:lumMod val="50000"/>
                </a:schemeClr>
              </a:solidFill>
              <a:ln>
                <a:noFill/>
              </a:ln>
              <a:effectLst/>
              <a:sp3d/>
            </c:spPr>
            <c:extLst>
              <c:ext xmlns:c16="http://schemas.microsoft.com/office/drawing/2014/chart" uri="{C3380CC4-5D6E-409C-BE32-E72D297353CC}">
                <c16:uniqueId val="{00000004-981E-49D8-962B-A61C24534EB6}"/>
              </c:ext>
            </c:extLst>
          </c:dPt>
          <c:dPt>
            <c:idx val="4"/>
            <c:bubble3D val="0"/>
            <c:spPr>
              <a:solidFill>
                <a:schemeClr val="tx2">
                  <a:lumMod val="50000"/>
                  <a:lumOff val="50000"/>
                </a:schemeClr>
              </a:solidFill>
              <a:ln>
                <a:noFill/>
              </a:ln>
              <a:effectLst/>
              <a:sp3d/>
            </c:spPr>
            <c:extLst>
              <c:ext xmlns:c16="http://schemas.microsoft.com/office/drawing/2014/chart" uri="{C3380CC4-5D6E-409C-BE32-E72D297353CC}">
                <c16:uniqueId val="{00000003-981E-49D8-962B-A61C24534EB6}"/>
              </c:ext>
            </c:extLst>
          </c:dPt>
          <c:dPt>
            <c:idx val="5"/>
            <c:bubble3D val="0"/>
            <c:spPr>
              <a:solidFill>
                <a:schemeClr val="accent2">
                  <a:lumMod val="60000"/>
                  <a:lumOff val="40000"/>
                </a:schemeClr>
              </a:solidFill>
              <a:ln>
                <a:noFill/>
              </a:ln>
              <a:effectLst/>
              <a:sp3d/>
            </c:spPr>
            <c:extLst>
              <c:ext xmlns:c16="http://schemas.microsoft.com/office/drawing/2014/chart" uri="{C3380CC4-5D6E-409C-BE32-E72D297353CC}">
                <c16:uniqueId val="{00000002-981E-49D8-962B-A61C24534E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'Kilometer by Engine Power'!$A$4:$A$12</c:f>
              <c:multiLvlStrCache>
                <c:ptCount val="6"/>
                <c:lvl>
                  <c:pt idx="0">
                    <c:v>69</c:v>
                  </c:pt>
                  <c:pt idx="1">
                    <c:v>101</c:v>
                  </c:pt>
                  <c:pt idx="2">
                    <c:v>69</c:v>
                  </c:pt>
                  <c:pt idx="3">
                    <c:v>84</c:v>
                  </c:pt>
                  <c:pt idx="4">
                    <c:v>99</c:v>
                  </c:pt>
                  <c:pt idx="5">
                    <c:v>101</c:v>
                  </c:pt>
                </c:lvl>
                <c:lvl>
                  <c:pt idx="0">
                    <c:v>automatic</c:v>
                  </c:pt>
                  <c:pt idx="2">
                    <c:v>manual</c:v>
                  </c:pt>
                </c:lvl>
              </c:multiLvlStrCache>
            </c:multiLvlStrRef>
          </c:cat>
          <c:val>
            <c:numRef>
              <c:f>'Kilometer by Engine Power'!$B$4:$B$12</c:f>
              <c:numCache>
                <c:formatCode>0</c:formatCode>
                <c:ptCount val="6"/>
                <c:pt idx="0">
                  <c:v>75000</c:v>
                </c:pt>
                <c:pt idx="1">
                  <c:v>182000</c:v>
                </c:pt>
                <c:pt idx="2">
                  <c:v>110834.30952380953</c:v>
                </c:pt>
                <c:pt idx="3">
                  <c:v>79000</c:v>
                </c:pt>
                <c:pt idx="4">
                  <c:v>123428</c:v>
                </c:pt>
                <c:pt idx="5">
                  <c:v>136163.6</c:v>
                </c:pt>
              </c:numCache>
            </c:numRef>
          </c:val>
          <c:extLst>
            <c:ext xmlns:c16="http://schemas.microsoft.com/office/drawing/2014/chart" uri="{C3380CC4-5D6E-409C-BE32-E72D297353CC}">
              <c16:uniqueId val="{00000000-981E-49D8-962B-A61C24534EB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.xlsx]Owner change!PivotTable3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Owner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'Owner change'!$B$3</c:f>
              <c:strCache>
                <c:ptCount val="1"/>
                <c:pt idx="0">
                  <c:v>Total</c:v>
                </c:pt>
              </c:strCache>
            </c:strRef>
          </c:tx>
          <c:spPr>
            <a:ln w="28575" cap="rnd">
              <a:solidFill>
                <a:schemeClr val="accent3">
                  <a:lumMod val="40000"/>
                  <a:lumOff val="60000"/>
                </a:schemeClr>
              </a:solidFill>
              <a:round/>
            </a:ln>
            <a:effectLst/>
          </c:spPr>
          <c:marker>
            <c:symbol val="none"/>
          </c:marker>
          <c:cat>
            <c:multiLvlStrRef>
              <c:f>'Owner change'!$A$4:$A$9</c:f>
              <c:multiLvlStrCache>
                <c:ptCount val="4"/>
                <c:lvl>
                  <c:pt idx="0">
                    <c:v>1</c:v>
                  </c:pt>
                  <c:pt idx="1">
                    <c:v>2</c:v>
                  </c:pt>
                  <c:pt idx="2">
                    <c:v>3</c:v>
                  </c:pt>
                  <c:pt idx="3">
                    <c:v>4</c:v>
                  </c:pt>
                </c:lvl>
                <c:lvl>
                  <c:pt idx="0">
                    <c:v>sport</c:v>
                  </c:pt>
                </c:lvl>
              </c:multiLvlStrCache>
            </c:multiLvlStrRef>
          </c:cat>
          <c:val>
            <c:numRef>
              <c:f>'Owner change'!$B$4:$B$9</c:f>
              <c:numCache>
                <c:formatCode>General</c:formatCode>
                <c:ptCount val="4"/>
                <c:pt idx="0">
                  <c:v>35</c:v>
                </c:pt>
                <c:pt idx="1">
                  <c:v>26</c:v>
                </c:pt>
                <c:pt idx="2">
                  <c:v>3</c:v>
                </c:pt>
                <c:pt idx="3">
                  <c:v>1</c:v>
                </c:pt>
              </c:numCache>
            </c:numRef>
          </c:val>
          <c:smooth val="0"/>
          <c:extLst>
            <c:ext xmlns:c16="http://schemas.microsoft.com/office/drawing/2014/chart" uri="{C3380CC4-5D6E-409C-BE32-E72D297353CC}">
              <c16:uniqueId val="{00000000-A37C-4415-8D73-4F7A33559AF4}"/>
            </c:ext>
          </c:extLst>
        </c:ser>
        <c:dLbls>
          <c:showLegendKey val="0"/>
          <c:showVal val="0"/>
          <c:showCatName val="0"/>
          <c:showSerName val="0"/>
          <c:showPercent val="0"/>
          <c:showBubbleSize val="0"/>
        </c:dLbls>
        <c:smooth val="0"/>
        <c:axId val="1460156463"/>
        <c:axId val="1460156943"/>
      </c:lineChart>
      <c:catAx>
        <c:axId val="146015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56943"/>
        <c:crosses val="autoZero"/>
        <c:auto val="1"/>
        <c:lblAlgn val="ctr"/>
        <c:lblOffset val="100"/>
        <c:noMultiLvlLbl val="0"/>
      </c:catAx>
      <c:valAx>
        <c:axId val="1460156943"/>
        <c:scaling>
          <c:orientation val="minMax"/>
        </c:scaling>
        <c:delete val="1"/>
        <c:axPos val="l"/>
        <c:numFmt formatCode="General" sourceLinked="1"/>
        <c:majorTickMark val="none"/>
        <c:minorTickMark val="none"/>
        <c:tickLblPos val="nextTo"/>
        <c:crossAx val="14601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.xlsx]Cost by brand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of Car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by brand '!$B$3</c:f>
              <c:strCache>
                <c:ptCount val="1"/>
                <c:pt idx="0">
                  <c:v>Sum of Price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by brand '!$A$4:$A$5</c:f>
              <c:strCache>
                <c:ptCount val="1"/>
                <c:pt idx="0">
                  <c:v>sport</c:v>
                </c:pt>
              </c:strCache>
            </c:strRef>
          </c:cat>
          <c:val>
            <c:numRef>
              <c:f>'Cost by brand '!$B$4:$B$5</c:f>
              <c:numCache>
                <c:formatCode>General</c:formatCode>
                <c:ptCount val="1"/>
                <c:pt idx="0">
                  <c:v>341645</c:v>
                </c:pt>
              </c:numCache>
            </c:numRef>
          </c:val>
          <c:extLst>
            <c:ext xmlns:c16="http://schemas.microsoft.com/office/drawing/2014/chart" uri="{C3380CC4-5D6E-409C-BE32-E72D297353CC}">
              <c16:uniqueId val="{00000004-E666-4240-88E2-FC18C0F03C88}"/>
            </c:ext>
          </c:extLst>
        </c:ser>
        <c:ser>
          <c:idx val="1"/>
          <c:order val="1"/>
          <c:tx>
            <c:strRef>
              <c:f>'Cost by brand '!$C$3</c:f>
              <c:strCache>
                <c:ptCount val="1"/>
                <c:pt idx="0">
                  <c:v>Sum of Price2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by brand '!$A$4:$A$5</c:f>
              <c:strCache>
                <c:ptCount val="1"/>
                <c:pt idx="0">
                  <c:v>sport</c:v>
                </c:pt>
              </c:strCache>
            </c:strRef>
          </c:cat>
          <c:val>
            <c:numRef>
              <c:f>'Cost by brand '!$C$4:$C$5</c:f>
              <c:numCache>
                <c:formatCode>0.00%</c:formatCode>
                <c:ptCount val="1"/>
                <c:pt idx="0">
                  <c:v>1</c:v>
                </c:pt>
              </c:numCache>
            </c:numRef>
          </c:val>
          <c:extLst>
            <c:ext xmlns:c16="http://schemas.microsoft.com/office/drawing/2014/chart" uri="{C3380CC4-5D6E-409C-BE32-E72D297353CC}">
              <c16:uniqueId val="{00000005-E666-4240-88E2-FC18C0F03C88}"/>
            </c:ext>
          </c:extLst>
        </c:ser>
        <c:dLbls>
          <c:dLblPos val="outEnd"/>
          <c:showLegendKey val="0"/>
          <c:showVal val="1"/>
          <c:showCatName val="0"/>
          <c:showSerName val="0"/>
          <c:showPercent val="0"/>
          <c:showBubbleSize val="0"/>
        </c:dLbls>
        <c:gapWidth val="0"/>
        <c:axId val="1460156463"/>
        <c:axId val="1460156943"/>
      </c:barChart>
      <c:catAx>
        <c:axId val="146015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56943"/>
        <c:crosses val="autoZero"/>
        <c:auto val="1"/>
        <c:lblAlgn val="ctr"/>
        <c:lblOffset val="100"/>
        <c:noMultiLvlLbl val="0"/>
      </c:catAx>
      <c:valAx>
        <c:axId val="1460156943"/>
        <c:scaling>
          <c:orientation val="minMax"/>
        </c:scaling>
        <c:delete val="1"/>
        <c:axPos val="b"/>
        <c:numFmt formatCode="General" sourceLinked="1"/>
        <c:majorTickMark val="none"/>
        <c:minorTickMark val="none"/>
        <c:tickLblPos val="nextTo"/>
        <c:crossAx val="14601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.xlsx]Cost by brand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of Car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by brand '!$B$3</c:f>
              <c:strCache>
                <c:ptCount val="1"/>
                <c:pt idx="0">
                  <c:v>Sum of Price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by brand '!$A$4:$A$5</c:f>
              <c:strCache>
                <c:ptCount val="1"/>
                <c:pt idx="0">
                  <c:v>sport</c:v>
                </c:pt>
              </c:strCache>
            </c:strRef>
          </c:cat>
          <c:val>
            <c:numRef>
              <c:f>'Cost by brand '!$B$4:$B$5</c:f>
              <c:numCache>
                <c:formatCode>General</c:formatCode>
                <c:ptCount val="1"/>
                <c:pt idx="0">
                  <c:v>341645</c:v>
                </c:pt>
              </c:numCache>
            </c:numRef>
          </c:val>
          <c:extLst>
            <c:ext xmlns:c16="http://schemas.microsoft.com/office/drawing/2014/chart" uri="{C3380CC4-5D6E-409C-BE32-E72D297353CC}">
              <c16:uniqueId val="{00000000-6D59-42C3-B25B-EAE4DE4B84D3}"/>
            </c:ext>
          </c:extLst>
        </c:ser>
        <c:ser>
          <c:idx val="1"/>
          <c:order val="1"/>
          <c:tx>
            <c:strRef>
              <c:f>'Cost by brand '!$C$3</c:f>
              <c:strCache>
                <c:ptCount val="1"/>
                <c:pt idx="0">
                  <c:v>Sum of Price2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by brand '!$A$4:$A$5</c:f>
              <c:strCache>
                <c:ptCount val="1"/>
                <c:pt idx="0">
                  <c:v>sport</c:v>
                </c:pt>
              </c:strCache>
            </c:strRef>
          </c:cat>
          <c:val>
            <c:numRef>
              <c:f>'Cost by brand '!$C$4:$C$5</c:f>
              <c:numCache>
                <c:formatCode>0.00%</c:formatCode>
                <c:ptCount val="1"/>
                <c:pt idx="0">
                  <c:v>1</c:v>
                </c:pt>
              </c:numCache>
            </c:numRef>
          </c:val>
          <c:extLst>
            <c:ext xmlns:c16="http://schemas.microsoft.com/office/drawing/2014/chart" uri="{C3380CC4-5D6E-409C-BE32-E72D297353CC}">
              <c16:uniqueId val="{00000001-6D59-42C3-B25B-EAE4DE4B84D3}"/>
            </c:ext>
          </c:extLst>
        </c:ser>
        <c:dLbls>
          <c:dLblPos val="outEnd"/>
          <c:showLegendKey val="0"/>
          <c:showVal val="1"/>
          <c:showCatName val="0"/>
          <c:showSerName val="0"/>
          <c:showPercent val="0"/>
          <c:showBubbleSize val="0"/>
        </c:dLbls>
        <c:gapWidth val="0"/>
        <c:axId val="1460156463"/>
        <c:axId val="1460156943"/>
      </c:barChart>
      <c:catAx>
        <c:axId val="146015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56943"/>
        <c:crosses val="autoZero"/>
        <c:auto val="1"/>
        <c:lblAlgn val="ctr"/>
        <c:lblOffset val="100"/>
        <c:noMultiLvlLbl val="0"/>
      </c:catAx>
      <c:valAx>
        <c:axId val="1460156943"/>
        <c:scaling>
          <c:orientation val="minMax"/>
        </c:scaling>
        <c:delete val="1"/>
        <c:axPos val="b"/>
        <c:numFmt formatCode="General" sourceLinked="1"/>
        <c:majorTickMark val="none"/>
        <c:minorTickMark val="none"/>
        <c:tickLblPos val="nextTo"/>
        <c:crossAx val="14601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.xlsx]Owner change!PivotTable3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Owner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'Owner change'!$B$3</c:f>
              <c:strCache>
                <c:ptCount val="1"/>
                <c:pt idx="0">
                  <c:v>Total</c:v>
                </c:pt>
              </c:strCache>
            </c:strRef>
          </c:tx>
          <c:spPr>
            <a:ln w="28575" cap="rnd">
              <a:solidFill>
                <a:schemeClr val="accent3">
                  <a:lumMod val="40000"/>
                  <a:lumOff val="60000"/>
                </a:schemeClr>
              </a:solidFill>
              <a:round/>
            </a:ln>
            <a:effectLst/>
          </c:spPr>
          <c:marker>
            <c:symbol val="none"/>
          </c:marker>
          <c:cat>
            <c:multiLvlStrRef>
              <c:f>'Owner change'!$A$4:$A$9</c:f>
              <c:multiLvlStrCache>
                <c:ptCount val="4"/>
                <c:lvl>
                  <c:pt idx="0">
                    <c:v>1</c:v>
                  </c:pt>
                  <c:pt idx="1">
                    <c:v>2</c:v>
                  </c:pt>
                  <c:pt idx="2">
                    <c:v>3</c:v>
                  </c:pt>
                  <c:pt idx="3">
                    <c:v>4</c:v>
                  </c:pt>
                </c:lvl>
                <c:lvl>
                  <c:pt idx="0">
                    <c:v>sport</c:v>
                  </c:pt>
                </c:lvl>
              </c:multiLvlStrCache>
            </c:multiLvlStrRef>
          </c:cat>
          <c:val>
            <c:numRef>
              <c:f>'Owner change'!$B$4:$B$9</c:f>
              <c:numCache>
                <c:formatCode>General</c:formatCode>
                <c:ptCount val="4"/>
                <c:pt idx="0">
                  <c:v>35</c:v>
                </c:pt>
                <c:pt idx="1">
                  <c:v>26</c:v>
                </c:pt>
                <c:pt idx="2">
                  <c:v>3</c:v>
                </c:pt>
                <c:pt idx="3">
                  <c:v>1</c:v>
                </c:pt>
              </c:numCache>
            </c:numRef>
          </c:val>
          <c:smooth val="0"/>
          <c:extLst>
            <c:ext xmlns:c16="http://schemas.microsoft.com/office/drawing/2014/chart" uri="{C3380CC4-5D6E-409C-BE32-E72D297353CC}">
              <c16:uniqueId val="{00000000-158C-449D-B55F-A0E58600A7C2}"/>
            </c:ext>
          </c:extLst>
        </c:ser>
        <c:dLbls>
          <c:showLegendKey val="0"/>
          <c:showVal val="0"/>
          <c:showCatName val="0"/>
          <c:showSerName val="0"/>
          <c:showPercent val="0"/>
          <c:showBubbleSize val="0"/>
        </c:dLbls>
        <c:smooth val="0"/>
        <c:axId val="1460156463"/>
        <c:axId val="1460156943"/>
      </c:lineChart>
      <c:catAx>
        <c:axId val="146015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156943"/>
        <c:crosses val="autoZero"/>
        <c:auto val="1"/>
        <c:lblAlgn val="ctr"/>
        <c:lblOffset val="100"/>
        <c:noMultiLvlLbl val="0"/>
      </c:catAx>
      <c:valAx>
        <c:axId val="1460156943"/>
        <c:scaling>
          <c:orientation val="minMax"/>
        </c:scaling>
        <c:delete val="1"/>
        <c:axPos val="l"/>
        <c:numFmt formatCode="General" sourceLinked="1"/>
        <c:majorTickMark val="none"/>
        <c:minorTickMark val="none"/>
        <c:tickLblPos val="nextTo"/>
        <c:crossAx val="14601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.xlsx]Kilometer by Engine Power!PivotTable3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Km by Engine power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pivotFmt>
      <c:pivotFmt>
        <c:idx val="3"/>
        <c:spPr>
          <a:solidFill>
            <a:schemeClr val="accent2">
              <a:lumMod val="60000"/>
              <a:lumOff val="40000"/>
            </a:schemeClr>
          </a:solidFill>
          <a:ln>
            <a:noFill/>
          </a:ln>
          <a:effectLst/>
          <a:sp3d/>
        </c:spPr>
      </c:pivotFmt>
      <c:pivotFmt>
        <c:idx val="4"/>
        <c:spPr>
          <a:solidFill>
            <a:schemeClr val="tx2">
              <a:lumMod val="50000"/>
              <a:lumOff val="50000"/>
            </a:schemeClr>
          </a:solidFill>
          <a:ln>
            <a:noFill/>
          </a:ln>
          <a:effectLst/>
          <a:sp3d/>
        </c:spPr>
      </c:pivotFmt>
      <c:pivotFmt>
        <c:idx val="5"/>
        <c:spPr>
          <a:solidFill>
            <a:schemeClr val="bg2">
              <a:lumMod val="50000"/>
            </a:schemeClr>
          </a:solidFill>
          <a:ln>
            <a:noFill/>
          </a:ln>
          <a:effectLst/>
          <a:sp3d/>
        </c:spPr>
      </c:pivotFmt>
      <c:pivotFmt>
        <c:idx val="6"/>
        <c:spPr>
          <a:solidFill>
            <a:schemeClr val="accent6">
              <a:lumMod val="60000"/>
              <a:lumOff val="40000"/>
            </a:schemeClr>
          </a:solidFill>
          <a:ln>
            <a:noFill/>
          </a:ln>
          <a:effectLst/>
          <a:sp3d/>
        </c:spPr>
      </c:pivotFmt>
      <c:pivotFmt>
        <c:idx val="7"/>
        <c:spPr>
          <a:solidFill>
            <a:schemeClr val="bg1">
              <a:lumMod val="75000"/>
            </a:schemeClr>
          </a:solidFill>
          <a:ln>
            <a:noFill/>
          </a:ln>
          <a:effectLst/>
          <a:sp3d/>
        </c:spPr>
      </c:pivotFmt>
      <c:pivotFmt>
        <c:idx val="8"/>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sp3d/>
        </c:spPr>
      </c:pivotFmt>
      <c:pivotFmt>
        <c:idx val="10"/>
        <c:spPr>
          <a:solidFill>
            <a:schemeClr val="bg1">
              <a:lumMod val="75000"/>
            </a:schemeClr>
          </a:solidFill>
          <a:ln>
            <a:noFill/>
          </a:ln>
          <a:effectLst/>
          <a:sp3d/>
        </c:spPr>
      </c:pivotFmt>
      <c:pivotFmt>
        <c:idx val="11"/>
        <c:spPr>
          <a:solidFill>
            <a:schemeClr val="accent6">
              <a:lumMod val="60000"/>
              <a:lumOff val="40000"/>
            </a:schemeClr>
          </a:solidFill>
          <a:ln>
            <a:noFill/>
          </a:ln>
          <a:effectLst/>
          <a:sp3d/>
        </c:spPr>
      </c:pivotFmt>
      <c:pivotFmt>
        <c:idx val="12"/>
        <c:spPr>
          <a:solidFill>
            <a:schemeClr val="bg2">
              <a:lumMod val="50000"/>
            </a:schemeClr>
          </a:solidFill>
          <a:ln>
            <a:noFill/>
          </a:ln>
          <a:effectLst/>
          <a:sp3d/>
        </c:spPr>
      </c:pivotFmt>
      <c:pivotFmt>
        <c:idx val="13"/>
        <c:spPr>
          <a:solidFill>
            <a:schemeClr val="tx2">
              <a:lumMod val="50000"/>
              <a:lumOff val="50000"/>
            </a:schemeClr>
          </a:solidFill>
          <a:ln>
            <a:noFill/>
          </a:ln>
          <a:effectLst/>
          <a:sp3d/>
        </c:spPr>
      </c:pivotFmt>
      <c:pivotFmt>
        <c:idx val="14"/>
        <c:spPr>
          <a:solidFill>
            <a:schemeClr val="accent2">
              <a:lumMod val="60000"/>
              <a:lumOff val="40000"/>
            </a:schemeClr>
          </a:solidFill>
          <a:ln>
            <a:noFill/>
          </a:ln>
          <a:effectLst/>
          <a:sp3d/>
        </c:spPr>
      </c:pivotFmt>
      <c:pivotFmt>
        <c:idx val="15"/>
        <c:spPr>
          <a:solidFill>
            <a:schemeClr val="accent3">
              <a:lumMod val="20000"/>
              <a:lumOff val="80000"/>
            </a:schemeClr>
          </a:solidFill>
          <a:ln>
            <a:noFill/>
          </a:ln>
          <a:effectLst/>
          <a:sp3d/>
        </c:spPr>
      </c:pivotFmt>
      <c:pivotFmt>
        <c:idx val="16"/>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a:sp3d/>
        </c:spPr>
      </c:pivotFmt>
      <c:pivotFmt>
        <c:idx val="18"/>
        <c:spPr>
          <a:solidFill>
            <a:schemeClr val="bg1">
              <a:lumMod val="75000"/>
            </a:schemeClr>
          </a:solidFill>
          <a:ln>
            <a:noFill/>
          </a:ln>
          <a:effectLst/>
          <a:sp3d/>
        </c:spPr>
      </c:pivotFmt>
      <c:pivotFmt>
        <c:idx val="19"/>
        <c:spPr>
          <a:solidFill>
            <a:schemeClr val="accent6">
              <a:lumMod val="60000"/>
              <a:lumOff val="40000"/>
            </a:schemeClr>
          </a:solidFill>
          <a:ln>
            <a:noFill/>
          </a:ln>
          <a:effectLst/>
          <a:sp3d/>
        </c:spPr>
      </c:pivotFmt>
      <c:pivotFmt>
        <c:idx val="20"/>
        <c:spPr>
          <a:solidFill>
            <a:schemeClr val="bg2">
              <a:lumMod val="50000"/>
            </a:schemeClr>
          </a:solidFill>
          <a:ln>
            <a:noFill/>
          </a:ln>
          <a:effectLst/>
          <a:sp3d/>
        </c:spPr>
      </c:pivotFmt>
      <c:pivotFmt>
        <c:idx val="21"/>
        <c:spPr>
          <a:solidFill>
            <a:schemeClr val="tx2">
              <a:lumMod val="50000"/>
              <a:lumOff val="50000"/>
            </a:schemeClr>
          </a:solidFill>
          <a:ln>
            <a:noFill/>
          </a:ln>
          <a:effectLst/>
          <a:sp3d/>
        </c:spPr>
      </c:pivotFmt>
      <c:pivotFmt>
        <c:idx val="22"/>
        <c:spPr>
          <a:solidFill>
            <a:schemeClr val="accent2">
              <a:lumMod val="60000"/>
              <a:lumOff val="40000"/>
            </a:schemeClr>
          </a:solidFill>
          <a:ln>
            <a:noFill/>
          </a:ln>
          <a:effectLst/>
          <a:sp3d/>
        </c:spPr>
      </c:pivotFmt>
      <c:pivotFmt>
        <c:idx val="23"/>
        <c:spPr>
          <a:solidFill>
            <a:schemeClr val="accent3">
              <a:lumMod val="20000"/>
              <a:lumOff val="80000"/>
            </a:schemeClr>
          </a:solidFill>
          <a:ln>
            <a:noFill/>
          </a:ln>
          <a:effectLst/>
          <a:sp3d/>
        </c:spPr>
      </c:pivotFmt>
    </c:pivotFmts>
    <c:view3D>
      <c:rotX val="15"/>
      <c:rotY val="20"/>
      <c:rAngAx val="0"/>
      <c:perspective val="20"/>
    </c:view3D>
    <c:floor>
      <c:thickness val="0"/>
      <c:spPr>
        <a:noFill/>
        <a:ln>
          <a:noFill/>
        </a:ln>
        <a:effectLst/>
        <a:sp3d/>
      </c:spPr>
    </c:floor>
    <c:sideWall>
      <c:thickness val="0"/>
      <c:spPr>
        <a:solidFill>
          <a:schemeClr val="bg2"/>
        </a:solidFill>
        <a:ln>
          <a:noFill/>
        </a:ln>
        <a:effectLst/>
        <a:sp3d/>
      </c:spPr>
    </c:sideWall>
    <c:backWall>
      <c:thickness val="0"/>
      <c:spPr>
        <a:solidFill>
          <a:schemeClr val="bg2"/>
        </a:solidFill>
        <a:ln>
          <a:noFill/>
        </a:ln>
        <a:effectLst/>
        <a:sp3d/>
      </c:spPr>
    </c:backWall>
    <c:plotArea>
      <c:layout>
        <c:manualLayout>
          <c:layoutTarget val="inner"/>
          <c:xMode val="edge"/>
          <c:yMode val="edge"/>
          <c:x val="4.0257648953301124E-3"/>
          <c:y val="0.17174657534246579"/>
          <c:w val="0.99194847020933996"/>
          <c:h val="0.61286224067881923"/>
        </c:manualLayout>
      </c:layout>
      <c:bar3DChart>
        <c:barDir val="col"/>
        <c:grouping val="clustered"/>
        <c:varyColors val="0"/>
        <c:ser>
          <c:idx val="0"/>
          <c:order val="0"/>
          <c:tx>
            <c:strRef>
              <c:f>'Kilometer by Engine Power'!$B$3</c:f>
              <c:strCache>
                <c:ptCount val="1"/>
                <c:pt idx="0">
                  <c:v>Total</c:v>
                </c:pt>
              </c:strCache>
            </c:strRef>
          </c:tx>
          <c:spPr>
            <a:solidFill>
              <a:schemeClr val="accent4">
                <a:lumMod val="60000"/>
                <a:lumOff val="40000"/>
              </a:schemeClr>
            </a:solidFill>
            <a:ln>
              <a:noFill/>
            </a:ln>
            <a:effectLst/>
            <a:sp3d/>
          </c:spPr>
          <c:invertIfNegative val="0"/>
          <c:dPt>
            <c:idx val="0"/>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1-6728-407E-9EAD-01C86B190011}"/>
              </c:ext>
            </c:extLst>
          </c:dPt>
          <c:dPt>
            <c:idx val="1"/>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3-6728-407E-9EAD-01C86B190011}"/>
              </c:ext>
            </c:extLst>
          </c:dPt>
          <c:dPt>
            <c:idx val="2"/>
            <c:invertIfNegative val="0"/>
            <c:bubble3D val="0"/>
            <c:spPr>
              <a:solidFill>
                <a:schemeClr val="bg2">
                  <a:lumMod val="50000"/>
                </a:schemeClr>
              </a:solidFill>
              <a:ln>
                <a:noFill/>
              </a:ln>
              <a:effectLst/>
              <a:sp3d/>
            </c:spPr>
            <c:extLst>
              <c:ext xmlns:c16="http://schemas.microsoft.com/office/drawing/2014/chart" uri="{C3380CC4-5D6E-409C-BE32-E72D297353CC}">
                <c16:uniqueId val="{00000005-6728-407E-9EAD-01C86B190011}"/>
              </c:ext>
            </c:extLst>
          </c:dPt>
          <c:dPt>
            <c:idx val="3"/>
            <c:invertIfNegative val="0"/>
            <c:bubble3D val="0"/>
            <c:spPr>
              <a:solidFill>
                <a:schemeClr val="tx2">
                  <a:lumMod val="50000"/>
                  <a:lumOff val="50000"/>
                </a:schemeClr>
              </a:solidFill>
              <a:ln>
                <a:noFill/>
              </a:ln>
              <a:effectLst/>
              <a:sp3d/>
            </c:spPr>
            <c:extLst>
              <c:ext xmlns:c16="http://schemas.microsoft.com/office/drawing/2014/chart" uri="{C3380CC4-5D6E-409C-BE32-E72D297353CC}">
                <c16:uniqueId val="{00000007-6728-407E-9EAD-01C86B190011}"/>
              </c:ext>
            </c:extLst>
          </c:dPt>
          <c:dPt>
            <c:idx val="4"/>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9-6728-407E-9EAD-01C86B190011}"/>
              </c:ext>
            </c:extLst>
          </c:dPt>
          <c:dPt>
            <c:idx val="5"/>
            <c:invertIfNegative val="0"/>
            <c:bubble3D val="0"/>
            <c:spPr>
              <a:solidFill>
                <a:schemeClr val="accent3">
                  <a:lumMod val="20000"/>
                  <a:lumOff val="80000"/>
                </a:schemeClr>
              </a:solidFill>
              <a:ln>
                <a:noFill/>
              </a:ln>
              <a:effectLst/>
              <a:sp3d/>
            </c:spPr>
            <c:extLst>
              <c:ext xmlns:c16="http://schemas.microsoft.com/office/drawing/2014/chart" uri="{C3380CC4-5D6E-409C-BE32-E72D297353CC}">
                <c16:uniqueId val="{0000000B-6728-407E-9EAD-01C86B190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'Kilometer by Engine Power'!$A$4:$A$12</c:f>
              <c:multiLvlStrCache>
                <c:ptCount val="6"/>
                <c:lvl>
                  <c:pt idx="0">
                    <c:v>69</c:v>
                  </c:pt>
                  <c:pt idx="1">
                    <c:v>101</c:v>
                  </c:pt>
                  <c:pt idx="2">
                    <c:v>69</c:v>
                  </c:pt>
                  <c:pt idx="3">
                    <c:v>84</c:v>
                  </c:pt>
                  <c:pt idx="4">
                    <c:v>99</c:v>
                  </c:pt>
                  <c:pt idx="5">
                    <c:v>101</c:v>
                  </c:pt>
                </c:lvl>
                <c:lvl>
                  <c:pt idx="0">
                    <c:v>automatic</c:v>
                  </c:pt>
                  <c:pt idx="2">
                    <c:v>manual</c:v>
                  </c:pt>
                </c:lvl>
              </c:multiLvlStrCache>
            </c:multiLvlStrRef>
          </c:cat>
          <c:val>
            <c:numRef>
              <c:f>'Kilometer by Engine Power'!$B$4:$B$12</c:f>
              <c:numCache>
                <c:formatCode>0</c:formatCode>
                <c:ptCount val="6"/>
                <c:pt idx="0">
                  <c:v>75000</c:v>
                </c:pt>
                <c:pt idx="1">
                  <c:v>182000</c:v>
                </c:pt>
                <c:pt idx="2">
                  <c:v>110834.30952380953</c:v>
                </c:pt>
                <c:pt idx="3">
                  <c:v>79000</c:v>
                </c:pt>
                <c:pt idx="4">
                  <c:v>123428</c:v>
                </c:pt>
                <c:pt idx="5">
                  <c:v>136163.6</c:v>
                </c:pt>
              </c:numCache>
            </c:numRef>
          </c:val>
          <c:extLst>
            <c:ext xmlns:c16="http://schemas.microsoft.com/office/drawing/2014/chart" uri="{C3380CC4-5D6E-409C-BE32-E72D297353CC}">
              <c16:uniqueId val="{0000000E-6728-407E-9EAD-01C86B190011}"/>
            </c:ext>
          </c:extLst>
        </c:ser>
        <c:dLbls>
          <c:showLegendKey val="0"/>
          <c:showVal val="0"/>
          <c:showCatName val="0"/>
          <c:showSerName val="0"/>
          <c:showPercent val="0"/>
          <c:showBubbleSize val="0"/>
        </c:dLbls>
        <c:gapWidth val="100"/>
        <c:shape val="box"/>
        <c:axId val="58533871"/>
        <c:axId val="58549231"/>
        <c:axId val="0"/>
      </c:bar3DChart>
      <c:catAx>
        <c:axId val="5853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9231"/>
        <c:crosses val="autoZero"/>
        <c:auto val="1"/>
        <c:lblAlgn val="ctr"/>
        <c:lblOffset val="100"/>
        <c:noMultiLvlLbl val="0"/>
      </c:catAx>
      <c:valAx>
        <c:axId val="5854923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853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.xlsx]Years driven by model!PivotTable3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use of cars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9138286893704851"/>
          <c:w val="0.79532526176163465"/>
          <c:h val="0.71573787409700718"/>
        </c:manualLayout>
      </c:layout>
      <c:barChart>
        <c:barDir val="bar"/>
        <c:grouping val="clustered"/>
        <c:varyColors val="0"/>
        <c:ser>
          <c:idx val="0"/>
          <c:order val="0"/>
          <c:tx>
            <c:strRef>
              <c:f>'Years driven by model'!$B$3:$B$4</c:f>
              <c:strCache>
                <c:ptCount val="1"/>
                <c:pt idx="0">
                  <c:v>sport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driven by model'!$A$5:$A$7</c:f>
              <c:strCache>
                <c:ptCount val="2"/>
                <c:pt idx="0">
                  <c:v>automatic</c:v>
                </c:pt>
                <c:pt idx="1">
                  <c:v>manual</c:v>
                </c:pt>
              </c:strCache>
            </c:strRef>
          </c:cat>
          <c:val>
            <c:numRef>
              <c:f>'Years driven by model'!$B$5:$B$7</c:f>
              <c:numCache>
                <c:formatCode>General</c:formatCode>
                <c:ptCount val="2"/>
                <c:pt idx="0">
                  <c:v>2</c:v>
                </c:pt>
                <c:pt idx="1">
                  <c:v>63</c:v>
                </c:pt>
              </c:numCache>
            </c:numRef>
          </c:val>
          <c:extLst>
            <c:ext xmlns:c16="http://schemas.microsoft.com/office/drawing/2014/chart" uri="{C3380CC4-5D6E-409C-BE32-E72D297353CC}">
              <c16:uniqueId val="{00000000-D307-4073-9DD1-6AFDB6DCBF1D}"/>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none"/>
        <c:minorTickMark val="none"/>
        <c:tickLblPos val="nextTo"/>
        <c:crossAx val="1161417631"/>
        <c:crosses val="autoZero"/>
        <c:crossBetween val="between"/>
      </c:valAx>
      <c:spPr>
        <a:solidFill>
          <a:schemeClr val="bg1">
            <a:lumMod val="8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.xlsx]Mileage by year!PivotTable3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Mileage</a:t>
            </a:r>
            <a:r>
              <a:rPr lang="en-US" baseline="0"/>
              <a:t> by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5">
              <a:lumMod val="60000"/>
              <a:lumOff val="40000"/>
            </a:schemeClr>
          </a:solidFill>
          <a:ln>
            <a:noFill/>
          </a:ln>
          <a:effectLst/>
        </c:spPr>
        <c:marker>
          <c:symbol val="none"/>
        </c:marker>
      </c:pivotFmt>
      <c:pivotFmt>
        <c:idx val="97"/>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4494324045407639"/>
          <c:w val="0.79532526176163465"/>
          <c:h val="0.81893704850361193"/>
        </c:manualLayout>
      </c:layout>
      <c:barChart>
        <c:barDir val="bar"/>
        <c:grouping val="clustered"/>
        <c:varyColors val="0"/>
        <c:ser>
          <c:idx val="0"/>
          <c:order val="0"/>
          <c:tx>
            <c:strRef>
              <c:f>'Mileage by year'!$B$3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'Mileage by year'!$A$4:$A$7</c:f>
              <c:multiLvlStrCache>
                <c:ptCount val="2"/>
                <c:lvl>
                  <c:pt idx="0">
                    <c:v>automatic</c:v>
                  </c:pt>
                  <c:pt idx="1">
                    <c:v>manual</c:v>
                  </c:pt>
                </c:lvl>
                <c:lvl>
                  <c:pt idx="0">
                    <c:v>sport</c:v>
                  </c:pt>
                </c:lvl>
              </c:multiLvlStrCache>
            </c:multiLvlStrRef>
          </c:cat>
          <c:val>
            <c:numRef>
              <c:f>'Mileage by year'!$B$4:$B$7</c:f>
              <c:numCache>
                <c:formatCode>General</c:formatCode>
                <c:ptCount val="2"/>
                <c:pt idx="0">
                  <c:v>10345.525695577311</c:v>
                </c:pt>
                <c:pt idx="1">
                  <c:v>18218.392371427639</c:v>
                </c:pt>
              </c:numCache>
            </c:numRef>
          </c:val>
          <c:extLst>
            <c:ext xmlns:c16="http://schemas.microsoft.com/office/drawing/2014/chart" uri="{C3380CC4-5D6E-409C-BE32-E72D297353CC}">
              <c16:uniqueId val="{00000000-4631-4681-81DA-3B46029492F5}"/>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out"/>
        <c:minorTickMark val="none"/>
        <c:tickLblPos val="nextTo"/>
        <c:crossAx val="1161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[Used_fiat_500_in_Italy_dataset - PIVOT TABLE .xlsx]Mileage by brand!PivotTable3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km of cars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860920610729"/>
          <c:y val="0.19138286893704851"/>
          <c:w val="0.79532526176163465"/>
          <c:h val="0.71573787409700718"/>
        </c:manualLayout>
      </c:layout>
      <c:barChart>
        <c:barDir val="bar"/>
        <c:grouping val="clustered"/>
        <c:varyColors val="0"/>
        <c:ser>
          <c:idx val="0"/>
          <c:order val="0"/>
          <c:tx>
            <c:strRef>
              <c:f>'Mileage by brand'!$B$3</c:f>
              <c:strCache>
                <c:ptCount val="1"/>
                <c:pt idx="0">
                  <c:v>Total</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'Mileage by brand'!$A$4:$A$7</c:f>
              <c:multiLvlStrCache>
                <c:ptCount val="2"/>
                <c:lvl>
                  <c:pt idx="0">
                    <c:v>automatic</c:v>
                  </c:pt>
                  <c:pt idx="1">
                    <c:v>manual</c:v>
                  </c:pt>
                </c:lvl>
                <c:lvl>
                  <c:pt idx="0">
                    <c:v>sport</c:v>
                  </c:pt>
                </c:lvl>
              </c:multiLvlStrCache>
            </c:multiLvlStrRef>
          </c:cat>
          <c:val>
            <c:numRef>
              <c:f>'Mileage by brand'!$B$4:$B$7</c:f>
              <c:numCache>
                <c:formatCode>General</c:formatCode>
                <c:ptCount val="2"/>
                <c:pt idx="0">
                  <c:v>257000</c:v>
                </c:pt>
                <c:pt idx="1">
                  <c:v>7266279</c:v>
                </c:pt>
              </c:numCache>
            </c:numRef>
          </c:val>
          <c:extLst>
            <c:ext xmlns:c16="http://schemas.microsoft.com/office/drawing/2014/chart" uri="{C3380CC4-5D6E-409C-BE32-E72D297353CC}">
              <c16:uniqueId val="{00000000-5576-4935-9030-FA561F3D23B2}"/>
            </c:ext>
          </c:extLst>
        </c:ser>
        <c:dLbls>
          <c:dLblPos val="outEnd"/>
          <c:showLegendKey val="0"/>
          <c:showVal val="1"/>
          <c:showCatName val="0"/>
          <c:showSerName val="0"/>
          <c:showPercent val="0"/>
          <c:showBubbleSize val="0"/>
        </c:dLbls>
        <c:gapWidth val="41"/>
        <c:axId val="1161417631"/>
        <c:axId val="1161419071"/>
      </c:barChart>
      <c:catAx>
        <c:axId val="11614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19071"/>
        <c:crosses val="autoZero"/>
        <c:auto val="1"/>
        <c:lblAlgn val="ctr"/>
        <c:lblOffset val="100"/>
        <c:noMultiLvlLbl val="0"/>
      </c:catAx>
      <c:valAx>
        <c:axId val="1161419071"/>
        <c:scaling>
          <c:orientation val="minMax"/>
        </c:scaling>
        <c:delete val="1"/>
        <c:axPos val="b"/>
        <c:numFmt formatCode="General" sourceLinked="1"/>
        <c:majorTickMark val="none"/>
        <c:minorTickMark val="none"/>
        <c:tickLblPos val="nextTo"/>
        <c:crossAx val="1161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320040</xdr:colOff>
      <xdr:row>1</xdr:row>
      <xdr:rowOff>121920</xdr:rowOff>
    </xdr:from>
    <xdr:to>
      <xdr:col>20</xdr:col>
      <xdr:colOff>297180</xdr:colOff>
      <xdr:row>15</xdr:row>
      <xdr:rowOff>22860</xdr:rowOff>
    </xdr:to>
    <xdr:graphicFrame macro="">
      <xdr:nvGraphicFramePr>
        <xdr:cNvPr id="2" name="Chart 1">
          <a:extLst>
            <a:ext uri="{FF2B5EF4-FFF2-40B4-BE49-F238E27FC236}">
              <a16:creationId xmlns:a16="http://schemas.microsoft.com/office/drawing/2014/main" id="{E43D9C1A-F2D7-9B07-E5A4-F2BEA8663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3</xdr:row>
      <xdr:rowOff>160020</xdr:rowOff>
    </xdr:from>
    <xdr:to>
      <xdr:col>14</xdr:col>
      <xdr:colOff>327660</xdr:colOff>
      <xdr:row>17</xdr:row>
      <xdr:rowOff>60960</xdr:rowOff>
    </xdr:to>
    <xdr:graphicFrame macro="">
      <xdr:nvGraphicFramePr>
        <xdr:cNvPr id="2" name="Chart 1">
          <a:extLst>
            <a:ext uri="{FF2B5EF4-FFF2-40B4-BE49-F238E27FC236}">
              <a16:creationId xmlns:a16="http://schemas.microsoft.com/office/drawing/2014/main" id="{CC226C78-A217-4F1C-A400-CB39AE2A9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205740</xdr:colOff>
      <xdr:row>3</xdr:row>
      <xdr:rowOff>121920</xdr:rowOff>
    </xdr:from>
    <xdr:to>
      <xdr:col>16</xdr:col>
      <xdr:colOff>182880</xdr:colOff>
      <xdr:row>17</xdr:row>
      <xdr:rowOff>22860</xdr:rowOff>
    </xdr:to>
    <xdr:graphicFrame macro="">
      <xdr:nvGraphicFramePr>
        <xdr:cNvPr id="2" name="Chart 1">
          <a:extLst>
            <a:ext uri="{FF2B5EF4-FFF2-40B4-BE49-F238E27FC236}">
              <a16:creationId xmlns:a16="http://schemas.microsoft.com/office/drawing/2014/main" id="{DBCFE3F3-A048-4804-8B91-C8ED39A65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967740</xdr:colOff>
      <xdr:row>6</xdr:row>
      <xdr:rowOff>45720</xdr:rowOff>
    </xdr:from>
    <xdr:to>
      <xdr:col>10</xdr:col>
      <xdr:colOff>15240</xdr:colOff>
      <xdr:row>21</xdr:row>
      <xdr:rowOff>45720</xdr:rowOff>
    </xdr:to>
    <xdr:graphicFrame macro="">
      <xdr:nvGraphicFramePr>
        <xdr:cNvPr id="2" name="Chart 1">
          <a:extLst>
            <a:ext uri="{FF2B5EF4-FFF2-40B4-BE49-F238E27FC236}">
              <a16:creationId xmlns:a16="http://schemas.microsoft.com/office/drawing/2014/main" id="{DA10D16F-FF06-4F6B-AFB0-B8A02FB3F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967740</xdr:colOff>
      <xdr:row>6</xdr:row>
      <xdr:rowOff>45720</xdr:rowOff>
    </xdr:from>
    <xdr:to>
      <xdr:col>10</xdr:col>
      <xdr:colOff>30480</xdr:colOff>
      <xdr:row>22</xdr:row>
      <xdr:rowOff>137160</xdr:rowOff>
    </xdr:to>
    <xdr:graphicFrame macro="">
      <xdr:nvGraphicFramePr>
        <xdr:cNvPr id="2" name="Chart 1">
          <a:extLst>
            <a:ext uri="{FF2B5EF4-FFF2-40B4-BE49-F238E27FC236}">
              <a16:creationId xmlns:a16="http://schemas.microsoft.com/office/drawing/2014/main" id="{0EE8BF1D-BA8F-42D1-8F96-6F334710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967740</xdr:colOff>
      <xdr:row>6</xdr:row>
      <xdr:rowOff>45720</xdr:rowOff>
    </xdr:from>
    <xdr:to>
      <xdr:col>10</xdr:col>
      <xdr:colOff>15240</xdr:colOff>
      <xdr:row>21</xdr:row>
      <xdr:rowOff>45720</xdr:rowOff>
    </xdr:to>
    <xdr:graphicFrame macro="">
      <xdr:nvGraphicFramePr>
        <xdr:cNvPr id="3" name="Chart 2">
          <a:extLst>
            <a:ext uri="{FF2B5EF4-FFF2-40B4-BE49-F238E27FC236}">
              <a16:creationId xmlns:a16="http://schemas.microsoft.com/office/drawing/2014/main" id="{7BA10E9B-520E-12BE-08BA-FFBDCB57A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15240</xdr:colOff>
      <xdr:row>1</xdr:row>
      <xdr:rowOff>76200</xdr:rowOff>
    </xdr:from>
    <xdr:to>
      <xdr:col>5</xdr:col>
      <xdr:colOff>182880</xdr:colOff>
      <xdr:row>13</xdr:row>
      <xdr:rowOff>91440</xdr:rowOff>
    </xdr:to>
    <xdr:graphicFrame macro="">
      <xdr:nvGraphicFramePr>
        <xdr:cNvPr id="2" name="Chart 1">
          <a:extLst>
            <a:ext uri="{FF2B5EF4-FFF2-40B4-BE49-F238E27FC236}">
              <a16:creationId xmlns:a16="http://schemas.microsoft.com/office/drawing/2014/main" id="{510AF1EC-0736-47C5-BFEA-753EC76AF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251460</xdr:colOff>
      <xdr:row>13</xdr:row>
      <xdr:rowOff>160020</xdr:rowOff>
    </xdr:from>
    <xdr:to>
      <xdr:col>12</xdr:col>
      <xdr:colOff>487680</xdr:colOff>
      <xdr:row>27</xdr:row>
      <xdr:rowOff>60960</xdr:rowOff>
    </xdr:to>
    <xdr:graphicFrame macro="">
      <xdr:nvGraphicFramePr>
        <xdr:cNvPr id="3" name="Chart 2">
          <a:extLst>
            <a:ext uri="{FF2B5EF4-FFF2-40B4-BE49-F238E27FC236}">
              <a16:creationId xmlns:a16="http://schemas.microsoft.com/office/drawing/2014/main" id="{F1EB2C21-10D5-4240-8C26-54035AAB2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556260</xdr:colOff>
      <xdr:row>1</xdr:row>
      <xdr:rowOff>76200</xdr:rowOff>
    </xdr:from>
    <xdr:to>
      <xdr:col>17</xdr:col>
      <xdr:colOff>449580</xdr:colOff>
      <xdr:row>13</xdr:row>
      <xdr:rowOff>106680</xdr:rowOff>
    </xdr:to>
    <xdr:graphicFrame macro="">
      <xdr:nvGraphicFramePr>
        <xdr:cNvPr id="4" name="Chart 3">
          <a:extLst>
            <a:ext uri="{FF2B5EF4-FFF2-40B4-BE49-F238E27FC236}">
              <a16:creationId xmlns:a16="http://schemas.microsoft.com/office/drawing/2014/main" id="{E5E6F8A4-70BD-4C0B-8B5A-B7D6DF454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266700</xdr:colOff>
      <xdr:row>1</xdr:row>
      <xdr:rowOff>83820</xdr:rowOff>
    </xdr:from>
    <xdr:to>
      <xdr:col>12</xdr:col>
      <xdr:colOff>480060</xdr:colOff>
      <xdr:row>13</xdr:row>
      <xdr:rowOff>106680</xdr:rowOff>
    </xdr:to>
    <xdr:graphicFrame macro="">
      <xdr:nvGraphicFramePr>
        <xdr:cNvPr id="5" name="Chart 4">
          <a:extLst>
            <a:ext uri="{FF2B5EF4-FFF2-40B4-BE49-F238E27FC236}">
              <a16:creationId xmlns:a16="http://schemas.microsoft.com/office/drawing/2014/main" id="{313F424A-B4FC-4E31-8458-E37CA6C4D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533400</xdr:colOff>
      <xdr:row>13</xdr:row>
      <xdr:rowOff>160020</xdr:rowOff>
    </xdr:from>
    <xdr:to>
      <xdr:col>17</xdr:col>
      <xdr:colOff>434340</xdr:colOff>
      <xdr:row>27</xdr:row>
      <xdr:rowOff>53340</xdr:rowOff>
    </xdr:to>
    <xdr:graphicFrame macro="">
      <xdr:nvGraphicFramePr>
        <xdr:cNvPr id="6" name="Chart 5">
          <a:extLst>
            <a:ext uri="{FF2B5EF4-FFF2-40B4-BE49-F238E27FC236}">
              <a16:creationId xmlns:a16="http://schemas.microsoft.com/office/drawing/2014/main" id="{FDE4387B-2839-446D-9660-08568DCE0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13</xdr:row>
      <xdr:rowOff>144780</xdr:rowOff>
    </xdr:from>
    <xdr:to>
      <xdr:col>5</xdr:col>
      <xdr:colOff>198120</xdr:colOff>
      <xdr:row>27</xdr:row>
      <xdr:rowOff>68580</xdr:rowOff>
    </xdr:to>
    <xdr:graphicFrame macro="">
      <xdr:nvGraphicFramePr>
        <xdr:cNvPr id="7" name="Chart 6">
          <a:extLst>
            <a:ext uri="{FF2B5EF4-FFF2-40B4-BE49-F238E27FC236}">
              <a16:creationId xmlns:a16="http://schemas.microsoft.com/office/drawing/2014/main" id="{40005D52-8927-476B-868B-2DFAC90B0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723900</xdr:colOff>
      <xdr:row>1</xdr:row>
      <xdr:rowOff>83821</xdr:rowOff>
    </xdr:from>
    <xdr:to>
      <xdr:col>20</xdr:col>
      <xdr:colOff>518160</xdr:colOff>
      <xdr:row>9</xdr:row>
      <xdr:rowOff>160021</xdr:rowOff>
    </xdr:to>
    <mc:AlternateContent xmlns:mc="http://schemas.openxmlformats.org/markup-compatibility/2006" xmlns:a14="http://schemas.microsoft.com/office/drawing/2010/main">
      <mc:Choice Requires="a14">
        <xdr:graphicFrame macro="">
          <xdr:nvGraphicFramePr>
            <xdr:cNvPr id="8" name="Model">
              <a:extLst>
                <a:ext uri="{FF2B5EF4-FFF2-40B4-BE49-F238E27FC236}">
                  <a16:creationId xmlns:a16="http://schemas.microsoft.com/office/drawing/2014/main" id="{AF97B1AD-85B6-A059-0179-680BB27AC60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1300460" y="266701"/>
              <a:ext cx="1828800" cy="1539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693420</xdr:colOff>
      <xdr:row>10</xdr:row>
      <xdr:rowOff>68581</xdr:rowOff>
    </xdr:from>
    <xdr:to>
      <xdr:col>20</xdr:col>
      <xdr:colOff>487680</xdr:colOff>
      <xdr:row>15</xdr:row>
      <xdr:rowOff>167641</xdr:rowOff>
    </xdr:to>
    <mc:AlternateContent xmlns:mc="http://schemas.openxmlformats.org/markup-compatibility/2006" xmlns:a14="http://schemas.microsoft.com/office/drawing/2010/main">
      <mc:Choice Requires="a14">
        <xdr:graphicFrame macro="">
          <xdr:nvGraphicFramePr>
            <xdr:cNvPr id="9" name="Transmission">
              <a:extLst>
                <a:ext uri="{FF2B5EF4-FFF2-40B4-BE49-F238E27FC236}">
                  <a16:creationId xmlns:a16="http://schemas.microsoft.com/office/drawing/2014/main" id="{9CD86028-2F4B-A1D3-8211-8CBF95743B55}"/>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1269980" y="1897381"/>
              <a:ext cx="1828800" cy="10134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we joseph" refreshedDate="45810.841687152781" createdVersion="8" refreshedVersion="8" minRefreshableVersion="3" recordCount="380" xr:uid="{7595FD5B-C904-4E54-89BE-FDFDE008D35A}">
  <cacheSource type="worksheet">
    <worksheetSource ref="A1:K381" sheet="Used_fiat_500_in_Italy_dataset"/>
  </cacheSource>
  <cacheFields count="12">
    <cacheField name="Model" numFmtId="0">
      <sharedItems count="4">
        <s v="lounge"/>
        <s v="sport"/>
        <s v="pop"/>
        <s v="star"/>
      </sharedItems>
    </cacheField>
    <cacheField name="Engine_power" numFmtId="0">
      <sharedItems containsSemiMixedTypes="0" containsString="0" containsNumber="1" containsInteger="1" minValue="69" maxValue="101" count="4">
        <n v="69"/>
        <n v="101"/>
        <n v="99"/>
        <n v="84"/>
      </sharedItems>
    </cacheField>
    <cacheField name="Transmission" numFmtId="0">
      <sharedItems count="2">
        <s v="manual"/>
        <s v="automatic"/>
      </sharedItems>
    </cacheField>
    <cacheField name="Age_in_days" numFmtId="0">
      <sharedItems containsSemiMixedTypes="0" containsString="0" containsNumber="1" containsInteger="1" minValue="91" maxValue="4719" count="92">
        <n v="4596"/>
        <n v="4719"/>
        <n v="4292"/>
        <n v="3957"/>
        <n v="4627"/>
        <n v="4383"/>
        <n v="4658"/>
        <n v="4414"/>
        <n v="4077"/>
        <n v="4169"/>
        <n v="4535"/>
        <n v="3774"/>
        <n v="3804"/>
        <n v="3288"/>
        <n v="4322"/>
        <n v="2527"/>
        <n v="4200"/>
        <n v="4566"/>
        <n v="4230"/>
        <n v="3470"/>
        <n v="4108"/>
        <n v="4139"/>
        <n v="4474"/>
        <n v="4353"/>
        <n v="3623"/>
        <n v="3927"/>
        <n v="4018"/>
        <n v="3835"/>
        <n v="3865"/>
        <n v="2708"/>
        <n v="4049"/>
        <n v="4443"/>
        <n v="2769"/>
        <n v="3653"/>
        <n v="3258"/>
        <n v="3347"/>
        <n v="3531"/>
        <n v="3013"/>
        <n v="3684"/>
        <n v="4261"/>
        <n v="3712"/>
        <n v="3439"/>
        <n v="3409"/>
        <n v="3988"/>
        <n v="3227"/>
        <n v="3896"/>
        <n v="3197"/>
        <n v="3562"/>
        <n v="4505"/>
        <n v="3743"/>
        <n v="3592"/>
        <n v="3319"/>
        <n v="548"/>
        <n v="2313"/>
        <n v="2800"/>
        <n v="3500"/>
        <n v="3105"/>
        <n v="3166"/>
        <n v="2982"/>
        <n v="3074"/>
        <n v="2588"/>
        <n v="2251"/>
        <n v="2922"/>
        <n v="2647"/>
        <n v="2070"/>
        <n v="1096"/>
        <n v="1066"/>
        <n v="2739"/>
        <n v="762"/>
        <n v="1886"/>
        <n v="1431"/>
        <n v="578"/>
        <n v="609"/>
        <n v="1521"/>
        <n v="425"/>
        <n v="397"/>
        <n v="1127"/>
        <n v="640"/>
        <n v="366"/>
        <n v="456"/>
        <n v="1370"/>
        <n v="790"/>
        <n v="183"/>
        <n v="701"/>
        <n v="244"/>
        <n v="152"/>
        <n v="275"/>
        <n v="731"/>
        <n v="487"/>
        <n v="91"/>
        <n v="670"/>
        <n v="1217"/>
      </sharedItems>
    </cacheField>
    <cacheField name="Kilometers" numFmtId="0">
      <sharedItems containsSemiMixedTypes="0" containsString="0" containsNumber="1" containsInteger="1" minValue="4981" maxValue="259000"/>
    </cacheField>
    <cacheField name="Previous_owners" numFmtId="0">
      <sharedItems containsSemiMixedTypes="0" containsString="0" containsNumber="1" containsInteger="1" minValue="1" maxValue="4" count="4">
        <n v="2"/>
        <n v="1"/>
        <n v="4"/>
        <n v="3"/>
      </sharedItems>
    </cacheField>
    <cacheField name="Latitude" numFmtId="49">
      <sharedItems/>
    </cacheField>
    <cacheField name="Longitude" numFmtId="49">
      <sharedItems/>
    </cacheField>
    <cacheField name="Price" numFmtId="0">
      <sharedItems containsSemiMixedTypes="0" containsString="0" containsNumber="1" containsInteger="1" minValue="2890" maxValue="15900"/>
    </cacheField>
    <cacheField name="Years" numFmtId="0">
      <sharedItems containsSemiMixedTypes="0" containsString="0" containsNumber="1" minValue="0.24931506849315069" maxValue="12.92876712328767" count="92">
        <n v="12.591780821917808"/>
        <n v="12.92876712328767"/>
        <n v="11.758904109589041"/>
        <n v="10.841095890410958"/>
        <n v="12.676712328767124"/>
        <n v="12.008219178082191"/>
        <n v="12.761643835616438"/>
        <n v="12.093150684931507"/>
        <n v="11.169863013698631"/>
        <n v="11.421917808219177"/>
        <n v="12.424657534246576"/>
        <n v="10.33972602739726"/>
        <n v="10.421917808219177"/>
        <n v="9.0082191780821912"/>
        <n v="11.841095890410958"/>
        <n v="6.9232876712328766"/>
        <n v="11.506849315068493"/>
        <n v="12.509589041095891"/>
        <n v="11.58904109589041"/>
        <n v="9.506849315068493"/>
        <n v="11.254794520547945"/>
        <n v="11.33972602739726"/>
        <n v="12.257534246575343"/>
        <n v="11.926027397260274"/>
        <n v="9.9260273972602739"/>
        <n v="10.758904109589041"/>
        <n v="11.008219178082191"/>
        <n v="10.506849315068493"/>
        <n v="10.58904109589041"/>
        <n v="7.419178082191781"/>
        <n v="11.093150684931507"/>
        <n v="12.172602739726027"/>
        <n v="7.5863013698630137"/>
        <n v="10.008219178082191"/>
        <n v="8.9260273972602739"/>
        <n v="9.169863013698631"/>
        <n v="9.6739726027397257"/>
        <n v="8.2547945205479447"/>
        <n v="10.093150684931507"/>
        <n v="11.673972602739726"/>
        <n v="10.169863013698631"/>
        <n v="9.4219178082191775"/>
        <n v="9.3397260273972602"/>
        <n v="10.926027397260274"/>
        <n v="8.8410958904109584"/>
        <n v="10.673972602739726"/>
        <n v="8.7589041095890412"/>
        <n v="9.7589041095890412"/>
        <n v="12.342465753424657"/>
        <n v="10.254794520547945"/>
        <n v="9.8410958904109584"/>
        <n v="9.0931506849315067"/>
        <n v="1.5013698630136987"/>
        <n v="6.3369863013698629"/>
        <n v="7.6712328767123283"/>
        <n v="9.5890410958904102"/>
        <n v="8.506849315068493"/>
        <n v="8.6739726027397257"/>
        <n v="8.169863013698631"/>
        <n v="8.4219178082191775"/>
        <n v="7.0904109589041093"/>
        <n v="6.1671232876712327"/>
        <n v="8.0054794520547947"/>
        <n v="7.2520547945205482"/>
        <n v="5.6712328767123283"/>
        <n v="3.0027397260273974"/>
        <n v="2.9205479452054797"/>
        <n v="7.5041095890410956"/>
        <n v="2.0876712328767124"/>
        <n v="5.1671232876712327"/>
        <n v="3.9205479452054797"/>
        <n v="1.5835616438356164"/>
        <n v="1.6684931506849314"/>
        <n v="4.1671232876712327"/>
        <n v="1.1643835616438356"/>
        <n v="1.0876712328767124"/>
        <n v="3.0876712328767124"/>
        <n v="1.7534246575342465"/>
        <n v="1.0027397260273974"/>
        <n v="1.2493150684931507"/>
        <n v="3.7534246575342465"/>
        <n v="2.1643835616438358"/>
        <n v="0.50136986301369868"/>
        <n v="1.9205479452054794"/>
        <n v="0.66849315068493154"/>
        <n v="0.41643835616438357"/>
        <n v="0.75342465753424659"/>
        <n v="2.0027397260273974"/>
        <n v="1.3342465753424657"/>
        <n v="0.24931506849315069"/>
        <n v="1.8356164383561644"/>
        <n v="3.3342465753424659"/>
      </sharedItems>
    </cacheField>
    <cacheField name="Km per year" numFmtId="0">
      <sharedItems containsSemiMixedTypes="0" containsString="0" containsNumber="1" minValue="3340.1323042998897" maxValue="227739.94505494504"/>
    </cacheField>
    <cacheField name="Field1" numFmtId="0" formula="Kilometers/100 *'Km per year'" databaseField="0"/>
  </cacheFields>
  <extLst>
    <ext xmlns:x14="http://schemas.microsoft.com/office/spreadsheetml/2009/9/main" uri="{725AE2AE-9491-48be-B2B4-4EB974FC3084}">
      <x14:pivotCacheDefinition pivotCacheId="2023124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
  <r>
    <x v="0"/>
    <x v="0"/>
    <x v="0"/>
    <x v="0"/>
    <n v="259000"/>
    <x v="0"/>
    <s v="45.027099609375"/>
    <s v="12.22085952758789"/>
    <n v="2890"/>
    <x v="0"/>
    <n v="20568.973020017405"/>
  </r>
  <r>
    <x v="1"/>
    <x v="1"/>
    <x v="1"/>
    <x v="1"/>
    <n v="182000"/>
    <x v="0"/>
    <s v="41.00551986694336"/>
    <s v="15.072779655456543"/>
    <n v="3250"/>
    <x v="1"/>
    <n v="14077.134986225896"/>
  </r>
  <r>
    <x v="0"/>
    <x v="0"/>
    <x v="1"/>
    <x v="2"/>
    <n v="190000"/>
    <x v="1"/>
    <s v="41.903221130371094"/>
    <s v="12.495650291442871"/>
    <n v="3300"/>
    <x v="2"/>
    <n v="16157.968313140727"/>
  </r>
  <r>
    <x v="2"/>
    <x v="0"/>
    <x v="0"/>
    <x v="3"/>
    <n v="151000"/>
    <x v="1"/>
    <s v="43.5505485534668"/>
    <s v="11.588330268859863"/>
    <n v="3400"/>
    <x v="3"/>
    <n v="13928.48117260551"/>
  </r>
  <r>
    <x v="2"/>
    <x v="0"/>
    <x v="0"/>
    <x v="4"/>
    <n v="148000"/>
    <x v="1"/>
    <s v="45.372161865234375"/>
    <s v="9.18871021270752"/>
    <n v="3500"/>
    <x v="4"/>
    <n v="11674.951372379512"/>
  </r>
  <r>
    <x v="0"/>
    <x v="0"/>
    <x v="0"/>
    <x v="5"/>
    <n v="82000"/>
    <x v="0"/>
    <s v="45.467960357666016"/>
    <s v="9.181779861450195"/>
    <n v="3500"/>
    <x v="5"/>
    <n v="6828.6561715719827"/>
  </r>
  <r>
    <x v="2"/>
    <x v="2"/>
    <x v="0"/>
    <x v="6"/>
    <n v="165000"/>
    <x v="0"/>
    <s v="45.58409118652344"/>
    <s v="9.270959854125977"/>
    <n v="3600"/>
    <x v="6"/>
    <n v="12929.3688278231"/>
  </r>
  <r>
    <x v="0"/>
    <x v="0"/>
    <x v="0"/>
    <x v="7"/>
    <n v="149000"/>
    <x v="1"/>
    <s v="45.851661682128906"/>
    <s v="9.39186954498291"/>
    <n v="3600"/>
    <x v="7"/>
    <n v="12321.02401449932"/>
  </r>
  <r>
    <x v="1"/>
    <x v="0"/>
    <x v="0"/>
    <x v="8"/>
    <n v="151000"/>
    <x v="0"/>
    <s v="45.71549987792969"/>
    <s v="9.208219528198242"/>
    <n v="3650"/>
    <x v="8"/>
    <n v="13518.518518518518"/>
  </r>
  <r>
    <x v="1"/>
    <x v="2"/>
    <x v="0"/>
    <x v="9"/>
    <n v="106500"/>
    <x v="1"/>
    <s v="44.4103889465332"/>
    <s v="8.938980102539062"/>
    <n v="3700"/>
    <x v="9"/>
    <n v="9324.178460062365"/>
  </r>
  <r>
    <x v="2"/>
    <x v="0"/>
    <x v="0"/>
    <x v="10"/>
    <n v="125000"/>
    <x v="0"/>
    <s v="45.37080001831055"/>
    <s v="10.023200035095215"/>
    <n v="3750"/>
    <x v="10"/>
    <n v="10060.6394707828"/>
  </r>
  <r>
    <x v="1"/>
    <x v="2"/>
    <x v="0"/>
    <x v="7"/>
    <n v="190000"/>
    <x v="1"/>
    <s v="41.903221130371094"/>
    <s v="12.495650291442871"/>
    <n v="3800"/>
    <x v="7"/>
    <n v="15711.372904395106"/>
  </r>
  <r>
    <x v="0"/>
    <x v="2"/>
    <x v="0"/>
    <x v="7"/>
    <n v="115000"/>
    <x v="0"/>
    <s v="44.9044303894043"/>
    <s v="8.199939727783203"/>
    <n v="3900"/>
    <x v="7"/>
    <n v="9509.5151789759857"/>
  </r>
  <r>
    <x v="2"/>
    <x v="0"/>
    <x v="0"/>
    <x v="11"/>
    <n v="139000"/>
    <x v="0"/>
    <s v="45.069679260253906"/>
    <s v="7.704919815063477"/>
    <n v="3900"/>
    <x v="11"/>
    <n v="13443.296237413884"/>
  </r>
  <r>
    <x v="2"/>
    <x v="0"/>
    <x v="0"/>
    <x v="12"/>
    <n v="110000"/>
    <x v="1"/>
    <s v="45.776588439941406"/>
    <s v="12.047300338745117"/>
    <n v="3900"/>
    <x v="12"/>
    <n v="10554.679284963197"/>
  </r>
  <r>
    <x v="0"/>
    <x v="0"/>
    <x v="0"/>
    <x v="7"/>
    <n v="149326"/>
    <x v="0"/>
    <s v="45.81071090698242"/>
    <s v="9.087149620056152"/>
    <n v="3900"/>
    <x v="7"/>
    <n v="12347.981422745808"/>
  </r>
  <r>
    <x v="1"/>
    <x v="0"/>
    <x v="0"/>
    <x v="13"/>
    <n v="160012"/>
    <x v="2"/>
    <s v="45.14113998413086"/>
    <s v="9.10807991027832"/>
    <n v="3900"/>
    <x v="13"/>
    <n v="17762.889294403893"/>
  </r>
  <r>
    <x v="2"/>
    <x v="0"/>
    <x v="0"/>
    <x v="14"/>
    <n v="151500"/>
    <x v="1"/>
    <s v="43.544498443603516"/>
    <s v="11.040300369262695"/>
    <n v="3900"/>
    <x v="14"/>
    <n v="12794.423877834337"/>
  </r>
  <r>
    <x v="0"/>
    <x v="0"/>
    <x v="0"/>
    <x v="11"/>
    <n v="124000"/>
    <x v="0"/>
    <s v="44.4103889465332"/>
    <s v="8.938980102539062"/>
    <n v="3900"/>
    <x v="11"/>
    <n v="11992.580816110229"/>
  </r>
  <r>
    <x v="2"/>
    <x v="0"/>
    <x v="1"/>
    <x v="15"/>
    <n v="82000"/>
    <x v="1"/>
    <s v="41.76905059814453"/>
    <s v="12.662810325622559"/>
    <n v="3950"/>
    <x v="15"/>
    <n v="11844.08389394539"/>
  </r>
  <r>
    <x v="2"/>
    <x v="0"/>
    <x v="0"/>
    <x v="5"/>
    <n v="107600"/>
    <x v="1"/>
    <s v="44.63998031616211"/>
    <s v="8.644689559936523"/>
    <n v="3950"/>
    <x v="5"/>
    <n v="8960.5293178188458"/>
  </r>
  <r>
    <x v="1"/>
    <x v="0"/>
    <x v="0"/>
    <x v="16"/>
    <n v="145900"/>
    <x v="0"/>
    <s v="45.13652038574219"/>
    <s v="7.771669864654541"/>
    <n v="3950"/>
    <x v="16"/>
    <n v="12679.404761904761"/>
  </r>
  <r>
    <x v="2"/>
    <x v="0"/>
    <x v="0"/>
    <x v="17"/>
    <n v="173960"/>
    <x v="0"/>
    <s v="46.1634407043457"/>
    <s v="10.353529930114746"/>
    <n v="3990"/>
    <x v="17"/>
    <n v="13906.132282084975"/>
  </r>
  <r>
    <x v="0"/>
    <x v="0"/>
    <x v="0"/>
    <x v="18"/>
    <n v="93000"/>
    <x v="1"/>
    <s v="43.61669921875"/>
    <s v="12.816699981689453"/>
    <n v="3999"/>
    <x v="18"/>
    <n v="8024.8226950354619"/>
  </r>
  <r>
    <x v="0"/>
    <x v="0"/>
    <x v="0"/>
    <x v="19"/>
    <n v="87900"/>
    <x v="1"/>
    <s v="44.03533172607422"/>
    <s v="10.139490127563477"/>
    <n v="4000"/>
    <x v="19"/>
    <n v="9245.9654178674355"/>
  </r>
  <r>
    <x v="2"/>
    <x v="0"/>
    <x v="0"/>
    <x v="17"/>
    <n v="140000"/>
    <x v="1"/>
    <s v="45.65016174316406"/>
    <s v="9.20518970489502"/>
    <n v="4000"/>
    <x v="17"/>
    <n v="11191.414805081033"/>
  </r>
  <r>
    <x v="1"/>
    <x v="2"/>
    <x v="0"/>
    <x v="6"/>
    <n v="123000"/>
    <x v="0"/>
    <s v="44.4103889465332"/>
    <s v="8.938980102539062"/>
    <n v="4000"/>
    <x v="6"/>
    <n v="9638.2567625590382"/>
  </r>
  <r>
    <x v="0"/>
    <x v="0"/>
    <x v="0"/>
    <x v="11"/>
    <n v="85000"/>
    <x v="0"/>
    <s v="44.2943000793457"/>
    <s v="9.674440383911133"/>
    <n v="4000"/>
    <x v="11"/>
    <n v="8220.7207207207211"/>
  </r>
  <r>
    <x v="1"/>
    <x v="2"/>
    <x v="0"/>
    <x v="20"/>
    <n v="129000"/>
    <x v="0"/>
    <s v="45.16025161743164"/>
    <s v="9.137539863586426"/>
    <n v="4000"/>
    <x v="20"/>
    <n v="11461.781888997079"/>
  </r>
  <r>
    <x v="2"/>
    <x v="2"/>
    <x v="0"/>
    <x v="5"/>
    <n v="127000"/>
    <x v="0"/>
    <s v="46.30955123901367"/>
    <s v="9.384129524230957"/>
    <n v="4000"/>
    <x v="5"/>
    <n v="10576.089436459048"/>
  </r>
  <r>
    <x v="2"/>
    <x v="0"/>
    <x v="0"/>
    <x v="5"/>
    <n v="129800"/>
    <x v="1"/>
    <s v="45.08150100708008"/>
    <s v="8.135370254516602"/>
    <n v="4090"/>
    <x v="5"/>
    <n v="10809.263061829797"/>
  </r>
  <r>
    <x v="2"/>
    <x v="0"/>
    <x v="0"/>
    <x v="21"/>
    <n v="136000"/>
    <x v="1"/>
    <s v="41.114261627197266"/>
    <s v="16.48571014404297"/>
    <n v="4100"/>
    <x v="21"/>
    <n v="11993.235080937424"/>
  </r>
  <r>
    <x v="2"/>
    <x v="0"/>
    <x v="0"/>
    <x v="14"/>
    <n v="126000"/>
    <x v="0"/>
    <s v="45.165409088134766"/>
    <s v="10.792420387268066"/>
    <n v="4150"/>
    <x v="14"/>
    <n v="10640.906987505785"/>
  </r>
  <r>
    <x v="0"/>
    <x v="0"/>
    <x v="0"/>
    <x v="19"/>
    <n v="150000"/>
    <x v="1"/>
    <s v="41.903221130371094"/>
    <s v="12.495650291442871"/>
    <n v="4200"/>
    <x v="19"/>
    <n v="15778.097982708934"/>
  </r>
  <r>
    <x v="1"/>
    <x v="2"/>
    <x v="0"/>
    <x v="4"/>
    <n v="164000"/>
    <x v="0"/>
    <s v="45.70170974731445"/>
    <s v="9.604700088500977"/>
    <n v="4200"/>
    <x v="4"/>
    <n v="12937.10827750162"/>
  </r>
  <r>
    <x v="0"/>
    <x v="0"/>
    <x v="0"/>
    <x v="22"/>
    <n v="165000"/>
    <x v="1"/>
    <s v="45.65658950805664"/>
    <s v="9.721229553222656"/>
    <n v="4200"/>
    <x v="22"/>
    <n v="13461.108627626285"/>
  </r>
  <r>
    <x v="2"/>
    <x v="0"/>
    <x v="0"/>
    <x v="16"/>
    <n v="145994"/>
    <x v="1"/>
    <s v="42.9539794921875"/>
    <s v="12.004449844360352"/>
    <n v="4200"/>
    <x v="16"/>
    <n v="12687.57380952381"/>
  </r>
  <r>
    <x v="1"/>
    <x v="1"/>
    <x v="0"/>
    <x v="6"/>
    <n v="142228"/>
    <x v="0"/>
    <s v="45.503299713134766"/>
    <s v="11.417840003967285"/>
    <n v="4200"/>
    <x v="6"/>
    <n v="11144.959209961358"/>
  </r>
  <r>
    <x v="2"/>
    <x v="0"/>
    <x v="0"/>
    <x v="18"/>
    <n v="156000"/>
    <x v="3"/>
    <s v="45.67483901977539"/>
    <s v="9.687859535217285"/>
    <n v="4250"/>
    <x v="18"/>
    <n v="13460.992907801419"/>
  </r>
  <r>
    <x v="1"/>
    <x v="0"/>
    <x v="0"/>
    <x v="8"/>
    <n v="124000"/>
    <x v="1"/>
    <s v="41.152061462402344"/>
    <s v="15.083089828491211"/>
    <n v="4250"/>
    <x v="8"/>
    <n v="11101.29997547216"/>
  </r>
  <r>
    <x v="2"/>
    <x v="0"/>
    <x v="0"/>
    <x v="14"/>
    <n v="145430"/>
    <x v="1"/>
    <s v="40.83258819580078"/>
    <s v="14.845890045166016"/>
    <n v="4300"/>
    <x v="14"/>
    <n v="12281.802406293384"/>
  </r>
  <r>
    <x v="0"/>
    <x v="0"/>
    <x v="0"/>
    <x v="18"/>
    <n v="117000"/>
    <x v="1"/>
    <s v="45.5896110534668"/>
    <s v="9.203949928283691"/>
    <n v="4300"/>
    <x v="18"/>
    <n v="10095.744680851065"/>
  </r>
  <r>
    <x v="0"/>
    <x v="0"/>
    <x v="0"/>
    <x v="21"/>
    <n v="157000"/>
    <x v="1"/>
    <s v="45.40964126586914"/>
    <s v="12.005359649658203"/>
    <n v="4300"/>
    <x v="21"/>
    <n v="13845.131674317468"/>
  </r>
  <r>
    <x v="2"/>
    <x v="0"/>
    <x v="0"/>
    <x v="23"/>
    <n v="104000"/>
    <x v="1"/>
    <s v="45.63330841064453"/>
    <s v="9.587340354919434"/>
    <n v="4300"/>
    <x v="23"/>
    <n v="8720.4226969905812"/>
  </r>
  <r>
    <x v="2"/>
    <x v="0"/>
    <x v="0"/>
    <x v="18"/>
    <n v="155000"/>
    <x v="1"/>
    <s v="41.903221130371094"/>
    <s v="12.495650291442871"/>
    <n v="4399"/>
    <x v="18"/>
    <n v="13374.70449172577"/>
  </r>
  <r>
    <x v="1"/>
    <x v="0"/>
    <x v="0"/>
    <x v="22"/>
    <n v="92397"/>
    <x v="1"/>
    <s v="44.95832061767578"/>
    <s v="7.5128397941589355"/>
    <n v="4400"/>
    <x v="22"/>
    <n v="7537.9760840411263"/>
  </r>
  <r>
    <x v="0"/>
    <x v="0"/>
    <x v="0"/>
    <x v="14"/>
    <n v="110000"/>
    <x v="1"/>
    <s v="45.058021545410156"/>
    <s v="9.549630165100098"/>
    <n v="4400"/>
    <x v="14"/>
    <n v="9289.680703378066"/>
  </r>
  <r>
    <x v="1"/>
    <x v="0"/>
    <x v="0"/>
    <x v="24"/>
    <n v="185000"/>
    <x v="1"/>
    <s v="45.03771"/>
    <s v="12.21641"/>
    <n v="4400"/>
    <x v="24"/>
    <n v="18637.869169196798"/>
  </r>
  <r>
    <x v="1"/>
    <x v="2"/>
    <x v="0"/>
    <x v="14"/>
    <n v="128000"/>
    <x v="1"/>
    <s v="45.069679260253906"/>
    <s v="7.704919815063477"/>
    <n v="4400"/>
    <x v="14"/>
    <n v="10809.810273021749"/>
  </r>
  <r>
    <x v="0"/>
    <x v="0"/>
    <x v="0"/>
    <x v="25"/>
    <n v="180000"/>
    <x v="1"/>
    <s v="45.9599609375"/>
    <s v="12.507940292358398"/>
    <n v="4400"/>
    <x v="25"/>
    <n v="16730.328495034377"/>
  </r>
  <r>
    <x v="1"/>
    <x v="0"/>
    <x v="0"/>
    <x v="23"/>
    <n v="110443"/>
    <x v="3"/>
    <s v="45.06312942504883"/>
    <s v="7.5767998695373535"/>
    <n v="4450"/>
    <x v="23"/>
    <n v="9260.6696531127964"/>
  </r>
  <r>
    <x v="0"/>
    <x v="0"/>
    <x v="0"/>
    <x v="10"/>
    <n v="124000"/>
    <x v="1"/>
    <s v="45.069679260253906"/>
    <s v="7.704919815063477"/>
    <n v="4450"/>
    <x v="10"/>
    <n v="9980.154355016537"/>
  </r>
  <r>
    <x v="2"/>
    <x v="0"/>
    <x v="0"/>
    <x v="22"/>
    <n v="56779"/>
    <x v="0"/>
    <s v="45.07107925415039"/>
    <s v="7.464029788970947"/>
    <n v="4490"/>
    <x v="22"/>
    <n v="4632.1714349575323"/>
  </r>
  <r>
    <x v="2"/>
    <x v="0"/>
    <x v="0"/>
    <x v="26"/>
    <n v="115000"/>
    <x v="1"/>
    <s v="41.903221130371094"/>
    <s v="12.495650291442871"/>
    <n v="4490"/>
    <x v="26"/>
    <n v="10446.739671478348"/>
  </r>
  <r>
    <x v="2"/>
    <x v="1"/>
    <x v="0"/>
    <x v="7"/>
    <n v="129000"/>
    <x v="1"/>
    <s v="45.53316879272461"/>
    <s v="10.376959800720215"/>
    <n v="4490"/>
    <x v="7"/>
    <n v="10667.195287720888"/>
  </r>
  <r>
    <x v="2"/>
    <x v="0"/>
    <x v="0"/>
    <x v="7"/>
    <n v="119000"/>
    <x v="1"/>
    <s v="45.501338958740234"/>
    <s v="9.02571964263916"/>
    <n v="4490"/>
    <x v="7"/>
    <n v="9840.2809243316715"/>
  </r>
  <r>
    <x v="2"/>
    <x v="0"/>
    <x v="0"/>
    <x v="18"/>
    <n v="88000"/>
    <x v="1"/>
    <s v="43.979393005371094"/>
    <s v="12.478236198425293"/>
    <n v="4490"/>
    <x v="18"/>
    <n v="7593.3806146572106"/>
  </r>
  <r>
    <x v="1"/>
    <x v="0"/>
    <x v="0"/>
    <x v="27"/>
    <n v="129892"/>
    <x v="0"/>
    <s v="45.069679260253906"/>
    <s v="7.704919815063477"/>
    <n v="4490"/>
    <x v="27"/>
    <n v="12362.602346805737"/>
  </r>
  <r>
    <x v="0"/>
    <x v="1"/>
    <x v="0"/>
    <x v="6"/>
    <n v="135000"/>
    <x v="0"/>
    <s v="40.835811614990234"/>
    <s v="14.504409790039062"/>
    <n v="4490"/>
    <x v="6"/>
    <n v="10578.574495491628"/>
  </r>
  <r>
    <x v="2"/>
    <x v="0"/>
    <x v="0"/>
    <x v="22"/>
    <n v="138000"/>
    <x v="0"/>
    <s v="44.929840087890625"/>
    <s v="9.017000198364258"/>
    <n v="4490"/>
    <x v="22"/>
    <n v="11258.381761287437"/>
  </r>
  <r>
    <x v="0"/>
    <x v="0"/>
    <x v="0"/>
    <x v="12"/>
    <n v="149900"/>
    <x v="0"/>
    <s v="43.75939178466797"/>
    <s v="10.880620002746582"/>
    <n v="4490"/>
    <x v="12"/>
    <n v="14383.14931650894"/>
  </r>
  <r>
    <x v="0"/>
    <x v="0"/>
    <x v="0"/>
    <x v="28"/>
    <n v="155000"/>
    <x v="0"/>
    <s v="43.86867141723633"/>
    <s v="10.813209533691406"/>
    <n v="4499"/>
    <x v="28"/>
    <n v="14637.774902975421"/>
  </r>
  <r>
    <x v="0"/>
    <x v="0"/>
    <x v="0"/>
    <x v="29"/>
    <n v="160000"/>
    <x v="1"/>
    <s v="45.069679260253906"/>
    <s v="7.704919815063477"/>
    <n v="4500"/>
    <x v="29"/>
    <n v="21565.73116691285"/>
  </r>
  <r>
    <x v="0"/>
    <x v="0"/>
    <x v="1"/>
    <x v="19"/>
    <n v="170000"/>
    <x v="0"/>
    <s v="45.51459884643555"/>
    <s v="9.284339904785156"/>
    <n v="4500"/>
    <x v="19"/>
    <n v="17881.844380403458"/>
  </r>
  <r>
    <x v="2"/>
    <x v="0"/>
    <x v="0"/>
    <x v="5"/>
    <n v="170000"/>
    <x v="0"/>
    <s v="37.60639953613281"/>
    <s v="15.1419095993042"/>
    <n v="4500"/>
    <x v="5"/>
    <n v="14156.970111795574"/>
  </r>
  <r>
    <x v="2"/>
    <x v="0"/>
    <x v="0"/>
    <x v="5"/>
    <n v="90000"/>
    <x v="1"/>
    <s v="45.501338958740234"/>
    <s v="9.02571964263916"/>
    <n v="4500"/>
    <x v="5"/>
    <n v="7494.8665297741272"/>
  </r>
  <r>
    <x v="0"/>
    <x v="0"/>
    <x v="0"/>
    <x v="25"/>
    <n v="156000"/>
    <x v="0"/>
    <s v="41.9963493347168"/>
    <s v="12.723440170288086"/>
    <n v="4500"/>
    <x v="25"/>
    <n v="14499.618029029794"/>
  </r>
  <r>
    <x v="0"/>
    <x v="0"/>
    <x v="0"/>
    <x v="21"/>
    <n v="123105"/>
    <x v="0"/>
    <s v="45.65016174316406"/>
    <s v="9.20518970489502"/>
    <n v="4500"/>
    <x v="21"/>
    <n v="10856.082387050012"/>
  </r>
  <r>
    <x v="0"/>
    <x v="0"/>
    <x v="1"/>
    <x v="18"/>
    <n v="145815"/>
    <x v="1"/>
    <s v="43.881378173828125"/>
    <s v="10.235260009765625"/>
    <n v="4500"/>
    <x v="18"/>
    <n v="12582.145390070922"/>
  </r>
  <r>
    <x v="0"/>
    <x v="0"/>
    <x v="0"/>
    <x v="12"/>
    <n v="114000"/>
    <x v="1"/>
    <s v="45.606971740722656"/>
    <s v="9.629229545593262"/>
    <n v="4500"/>
    <x v="12"/>
    <n v="10938.485804416405"/>
  </r>
  <r>
    <x v="1"/>
    <x v="0"/>
    <x v="0"/>
    <x v="20"/>
    <n v="146692"/>
    <x v="1"/>
    <s v="45.51919937133789"/>
    <s v="9.70479965209961"/>
    <n v="4500"/>
    <x v="20"/>
    <n v="13033.73417721519"/>
  </r>
  <r>
    <x v="0"/>
    <x v="0"/>
    <x v="0"/>
    <x v="30"/>
    <n v="158000"/>
    <x v="1"/>
    <s v="40.94717025756836"/>
    <s v="14.372540473937988"/>
    <n v="4500"/>
    <x v="30"/>
    <n v="14243.02296863423"/>
  </r>
  <r>
    <x v="2"/>
    <x v="0"/>
    <x v="0"/>
    <x v="31"/>
    <n v="113000"/>
    <x v="1"/>
    <s v="40.9994010925293"/>
    <s v="14.152549743652344"/>
    <n v="4500"/>
    <x v="31"/>
    <n v="9283.1420211568766"/>
  </r>
  <r>
    <x v="1"/>
    <x v="0"/>
    <x v="0"/>
    <x v="21"/>
    <n v="79709"/>
    <x v="1"/>
    <s v="41.903221130371094"/>
    <s v="12.495650291442871"/>
    <n v="4500"/>
    <x v="21"/>
    <n v="7029.1821696061852"/>
  </r>
  <r>
    <x v="0"/>
    <x v="0"/>
    <x v="1"/>
    <x v="9"/>
    <n v="137000"/>
    <x v="1"/>
    <s v="45.81071090698242"/>
    <s v="9.087149620056152"/>
    <n v="4500"/>
    <x v="9"/>
    <n v="11994.483089469897"/>
  </r>
  <r>
    <x v="1"/>
    <x v="2"/>
    <x v="0"/>
    <x v="17"/>
    <n v="155151"/>
    <x v="0"/>
    <s v="45.536590576171875"/>
    <s v="10.232040405273438"/>
    <n v="4500"/>
    <x v="17"/>
    <n v="12402.565703022337"/>
  </r>
  <r>
    <x v="0"/>
    <x v="3"/>
    <x v="0"/>
    <x v="32"/>
    <n v="128000"/>
    <x v="1"/>
    <s v="43.81578826904297"/>
    <s v="7.77584981918335"/>
    <n v="4500"/>
    <x v="32"/>
    <n v="16872.517154207297"/>
  </r>
  <r>
    <x v="2"/>
    <x v="0"/>
    <x v="0"/>
    <x v="33"/>
    <n v="81000"/>
    <x v="0"/>
    <s v="45.467960357666016"/>
    <s v="9.181779861450195"/>
    <n v="4500"/>
    <x v="33"/>
    <n v="8093.3479332055849"/>
  </r>
  <r>
    <x v="1"/>
    <x v="0"/>
    <x v="0"/>
    <x v="14"/>
    <n v="103387"/>
    <x v="0"/>
    <s v="44.4103889465332"/>
    <s v="8.938980102539062"/>
    <n v="4500"/>
    <x v="14"/>
    <n v="8731.2019898195285"/>
  </r>
  <r>
    <x v="2"/>
    <x v="0"/>
    <x v="0"/>
    <x v="16"/>
    <n v="131000"/>
    <x v="0"/>
    <s v="45.03190994262695"/>
    <s v="9.241109848022461"/>
    <n v="4500"/>
    <x v="16"/>
    <n v="11384.523809523809"/>
  </r>
  <r>
    <x v="0"/>
    <x v="2"/>
    <x v="0"/>
    <x v="6"/>
    <n v="143000"/>
    <x v="0"/>
    <s v="45.069679260253906"/>
    <s v="7.704919815063477"/>
    <n v="4500"/>
    <x v="6"/>
    <n v="11205.452984113354"/>
  </r>
  <r>
    <x v="2"/>
    <x v="0"/>
    <x v="0"/>
    <x v="26"/>
    <n v="99999"/>
    <x v="1"/>
    <s v="46.36450958251953"/>
    <s v="11.035550117492676"/>
    <n v="4500"/>
    <x v="26"/>
    <n v="9084.0306122448983"/>
  </r>
  <r>
    <x v="1"/>
    <x v="0"/>
    <x v="0"/>
    <x v="14"/>
    <n v="95000"/>
    <x v="1"/>
    <s v="40.92850112915039"/>
    <s v="14.203669548034668"/>
    <n v="4500"/>
    <x v="14"/>
    <n v="8022.9060620083301"/>
  </r>
  <r>
    <x v="0"/>
    <x v="3"/>
    <x v="0"/>
    <x v="32"/>
    <n v="128000"/>
    <x v="1"/>
    <s v="43.81578826904297"/>
    <s v="7.77584981918335"/>
    <n v="4500"/>
    <x v="32"/>
    <n v="16872.517154207297"/>
  </r>
  <r>
    <x v="2"/>
    <x v="0"/>
    <x v="0"/>
    <x v="33"/>
    <n v="81000"/>
    <x v="0"/>
    <s v="45.467960357666016"/>
    <s v="9.181779861450195"/>
    <n v="4500"/>
    <x v="33"/>
    <n v="8093.3479332055849"/>
  </r>
  <r>
    <x v="1"/>
    <x v="0"/>
    <x v="0"/>
    <x v="14"/>
    <n v="103387"/>
    <x v="0"/>
    <s v="44.4103889465332"/>
    <s v="8.938980102539062"/>
    <n v="4500"/>
    <x v="14"/>
    <n v="8731.2019898195285"/>
  </r>
  <r>
    <x v="2"/>
    <x v="0"/>
    <x v="0"/>
    <x v="16"/>
    <n v="131000"/>
    <x v="0"/>
    <s v="45.03190994262695"/>
    <s v="9.241109848022461"/>
    <n v="4500"/>
    <x v="16"/>
    <n v="11384.523809523809"/>
  </r>
  <r>
    <x v="0"/>
    <x v="2"/>
    <x v="0"/>
    <x v="6"/>
    <n v="143000"/>
    <x v="0"/>
    <s v="45.069679260253906"/>
    <s v="7.704919815063477"/>
    <n v="4500"/>
    <x v="6"/>
    <n v="11205.452984113354"/>
  </r>
  <r>
    <x v="2"/>
    <x v="0"/>
    <x v="0"/>
    <x v="26"/>
    <n v="99999"/>
    <x v="1"/>
    <s v="46.36450958251953"/>
    <s v="11.035550117492676"/>
    <n v="4500"/>
    <x v="26"/>
    <n v="9084.0306122448983"/>
  </r>
  <r>
    <x v="1"/>
    <x v="0"/>
    <x v="0"/>
    <x v="14"/>
    <n v="95000"/>
    <x v="1"/>
    <s v="40.92850112915039"/>
    <s v="14.203669548034668"/>
    <n v="4500"/>
    <x v="14"/>
    <n v="8022.9060620083301"/>
  </r>
  <r>
    <x v="0"/>
    <x v="1"/>
    <x v="0"/>
    <x v="27"/>
    <n v="112000"/>
    <x v="1"/>
    <s v="45.8456916809082"/>
    <s v="8.6668701171875"/>
    <n v="4600"/>
    <x v="27"/>
    <n v="10659.713168187745"/>
  </r>
  <r>
    <x v="0"/>
    <x v="0"/>
    <x v="0"/>
    <x v="34"/>
    <n v="139700"/>
    <x v="1"/>
    <s v="45.591670989990234"/>
    <s v="10.153779983520508"/>
    <n v="4600"/>
    <x v="34"/>
    <n v="15650.859422958871"/>
  </r>
  <r>
    <x v="0"/>
    <x v="1"/>
    <x v="0"/>
    <x v="27"/>
    <n v="112000"/>
    <x v="1"/>
    <s v="45.8456916809082"/>
    <s v="8.6668701171875"/>
    <n v="4600"/>
    <x v="27"/>
    <n v="10659.713168187745"/>
  </r>
  <r>
    <x v="0"/>
    <x v="0"/>
    <x v="0"/>
    <x v="34"/>
    <n v="139700"/>
    <x v="1"/>
    <s v="45.591670989990234"/>
    <s v="10.153779983520508"/>
    <n v="4600"/>
    <x v="34"/>
    <n v="15650.859422958871"/>
  </r>
  <r>
    <x v="0"/>
    <x v="3"/>
    <x v="0"/>
    <x v="35"/>
    <n v="138000"/>
    <x v="0"/>
    <s v="45.53200149536133"/>
    <s v="9.281530380249023"/>
    <n v="4600"/>
    <x v="35"/>
    <n v="15049.29787869734"/>
  </r>
  <r>
    <x v="0"/>
    <x v="1"/>
    <x v="0"/>
    <x v="14"/>
    <n v="170000"/>
    <x v="0"/>
    <s v="45.55812072753906"/>
    <s v="9.21360969543457"/>
    <n v="4600"/>
    <x v="14"/>
    <n v="14356.779268857012"/>
  </r>
  <r>
    <x v="2"/>
    <x v="0"/>
    <x v="0"/>
    <x v="27"/>
    <n v="115000"/>
    <x v="1"/>
    <s v="38.48971939086914"/>
    <s v="15.973919868469238"/>
    <n v="4600"/>
    <x v="27"/>
    <n v="10945.241199478487"/>
  </r>
  <r>
    <x v="0"/>
    <x v="0"/>
    <x v="0"/>
    <x v="16"/>
    <n v="164000"/>
    <x v="0"/>
    <s v="43.111358642578125"/>
    <s v="12.383919715881348"/>
    <n v="4650"/>
    <x v="16"/>
    <n v="14252.380952380952"/>
  </r>
  <r>
    <x v="0"/>
    <x v="0"/>
    <x v="0"/>
    <x v="5"/>
    <n v="125000"/>
    <x v="0"/>
    <s v="40.835811614990234"/>
    <s v="14.504409790039062"/>
    <n v="4690"/>
    <x v="5"/>
    <n v="10409.536846908512"/>
  </r>
  <r>
    <x v="1"/>
    <x v="0"/>
    <x v="0"/>
    <x v="13"/>
    <n v="132000"/>
    <x v="0"/>
    <s v="41.903221130371094"/>
    <s v="12.495650291442871"/>
    <n v="4700"/>
    <x v="13"/>
    <n v="14653.284671532847"/>
  </r>
  <r>
    <x v="0"/>
    <x v="0"/>
    <x v="0"/>
    <x v="16"/>
    <n v="97000"/>
    <x v="0"/>
    <s v="45.40943908691406"/>
    <s v="11.871709823608398"/>
    <n v="4700"/>
    <x v="16"/>
    <n v="8429.7619047619046"/>
  </r>
  <r>
    <x v="0"/>
    <x v="0"/>
    <x v="0"/>
    <x v="36"/>
    <n v="159200"/>
    <x v="0"/>
    <s v="45.23830032348633"/>
    <s v="11.752240180969238"/>
    <n v="4700"/>
    <x v="36"/>
    <n v="16456.527895780233"/>
  </r>
  <r>
    <x v="0"/>
    <x v="0"/>
    <x v="0"/>
    <x v="37"/>
    <n v="220034"/>
    <x v="0"/>
    <s v="45.43687057495117"/>
    <s v="12.131600379943848"/>
    <n v="4700"/>
    <x v="37"/>
    <n v="26655.297046133423"/>
  </r>
  <r>
    <x v="0"/>
    <x v="0"/>
    <x v="0"/>
    <x v="38"/>
    <n v="107304"/>
    <x v="1"/>
    <s v="45.454158782958984"/>
    <s v="9.388779640197754"/>
    <n v="4700"/>
    <x v="38"/>
    <n v="10631.368078175896"/>
  </r>
  <r>
    <x v="2"/>
    <x v="0"/>
    <x v="0"/>
    <x v="31"/>
    <n v="110000"/>
    <x v="0"/>
    <s v="43.52069854736328"/>
    <s v="13.238080024719238"/>
    <n v="4700"/>
    <x v="31"/>
    <n v="9036.6869232500558"/>
  </r>
  <r>
    <x v="0"/>
    <x v="0"/>
    <x v="0"/>
    <x v="39"/>
    <n v="153584"/>
    <x v="0"/>
    <s v="44.3719596862793"/>
    <s v="12.031149864196777"/>
    <n v="4750"/>
    <x v="39"/>
    <n v="13156.10420089181"/>
  </r>
  <r>
    <x v="1"/>
    <x v="0"/>
    <x v="0"/>
    <x v="40"/>
    <n v="124490"/>
    <x v="0"/>
    <s v="45.53266143798828"/>
    <s v="9.038920402526855"/>
    <n v="4790"/>
    <x v="40"/>
    <n v="12241.069504310344"/>
  </r>
  <r>
    <x v="2"/>
    <x v="0"/>
    <x v="0"/>
    <x v="2"/>
    <n v="178000"/>
    <x v="1"/>
    <s v="43.37266159057617"/>
    <s v="13.219809532165527"/>
    <n v="4800"/>
    <x v="2"/>
    <n v="15137.465051258154"/>
  </r>
  <r>
    <x v="1"/>
    <x v="0"/>
    <x v="0"/>
    <x v="31"/>
    <n v="126500"/>
    <x v="1"/>
    <s v="45.574031829833984"/>
    <s v="10.526920318603516"/>
    <n v="4800"/>
    <x v="31"/>
    <n v="10392.189961737564"/>
  </r>
  <r>
    <x v="2"/>
    <x v="2"/>
    <x v="0"/>
    <x v="41"/>
    <n v="150000"/>
    <x v="0"/>
    <s v="45.548221588134766"/>
    <s v="9.186090469360352"/>
    <n v="4800"/>
    <x v="41"/>
    <n v="15920.325676068625"/>
  </r>
  <r>
    <x v="0"/>
    <x v="2"/>
    <x v="0"/>
    <x v="10"/>
    <n v="120000"/>
    <x v="0"/>
    <s v="44.4103889465332"/>
    <s v="8.938980102539062"/>
    <n v="4800"/>
    <x v="10"/>
    <n v="9658.2138919514873"/>
  </r>
  <r>
    <x v="2"/>
    <x v="0"/>
    <x v="0"/>
    <x v="42"/>
    <n v="120000"/>
    <x v="0"/>
    <s v="44.94935989379883"/>
    <s v="7.636569976806641"/>
    <n v="4800"/>
    <x v="42"/>
    <n v="12848.342622469932"/>
  </r>
  <r>
    <x v="0"/>
    <x v="0"/>
    <x v="0"/>
    <x v="14"/>
    <n v="137000"/>
    <x v="1"/>
    <s v="42.766090393066406"/>
    <s v="11.117250442504883"/>
    <n v="4800"/>
    <x v="14"/>
    <n v="11569.875057843592"/>
  </r>
  <r>
    <x v="0"/>
    <x v="0"/>
    <x v="1"/>
    <x v="33"/>
    <n v="112100"/>
    <x v="1"/>
    <s v="45.63045883178711"/>
    <s v="9.274069786071777"/>
    <n v="4850"/>
    <x v="33"/>
    <n v="11200.793868053655"/>
  </r>
  <r>
    <x v="2"/>
    <x v="0"/>
    <x v="0"/>
    <x v="23"/>
    <n v="137500"/>
    <x v="0"/>
    <s v="44.8383903503418"/>
    <s v="11.619440078735352"/>
    <n v="4890"/>
    <x v="23"/>
    <n v="11529.405008040432"/>
  </r>
  <r>
    <x v="0"/>
    <x v="0"/>
    <x v="0"/>
    <x v="38"/>
    <n v="91000"/>
    <x v="1"/>
    <s v="40.7747802734375"/>
    <s v="14.591919898986816"/>
    <n v="4900"/>
    <x v="38"/>
    <n v="9016.0152008686218"/>
  </r>
  <r>
    <x v="0"/>
    <x v="0"/>
    <x v="1"/>
    <x v="12"/>
    <n v="154000"/>
    <x v="0"/>
    <s v="42.080509185791016"/>
    <s v="12.400309562683105"/>
    <n v="4900"/>
    <x v="12"/>
    <n v="14776.550998948476"/>
  </r>
  <r>
    <x v="0"/>
    <x v="0"/>
    <x v="0"/>
    <x v="5"/>
    <n v="134114"/>
    <x v="0"/>
    <s v="45.81626892089844"/>
    <s v="8.248129844665527"/>
    <n v="4900"/>
    <x v="5"/>
    <n v="11168.516997490304"/>
  </r>
  <r>
    <x v="1"/>
    <x v="0"/>
    <x v="0"/>
    <x v="14"/>
    <n v="120000"/>
    <x v="1"/>
    <s v="45.03968811035156"/>
    <s v="11.789959907531738"/>
    <n v="4900"/>
    <x v="14"/>
    <n v="10134.197130957889"/>
  </r>
  <r>
    <x v="0"/>
    <x v="0"/>
    <x v="0"/>
    <x v="43"/>
    <n v="115557"/>
    <x v="0"/>
    <s v="41.903221130371094"/>
    <s v="12.495650291442871"/>
    <n v="4900"/>
    <x v="43"/>
    <n v="10576.305165496489"/>
  </r>
  <r>
    <x v="2"/>
    <x v="0"/>
    <x v="0"/>
    <x v="22"/>
    <n v="114000"/>
    <x v="0"/>
    <s v="44.643131256103516"/>
    <s v="10.934060096740723"/>
    <n v="4900"/>
    <x v="22"/>
    <n v="9300.4023245417975"/>
  </r>
  <r>
    <x v="0"/>
    <x v="2"/>
    <x v="0"/>
    <x v="14"/>
    <n v="187160"/>
    <x v="1"/>
    <s v="45.45331954956055"/>
    <s v="10.409669876098633"/>
    <n v="4900"/>
    <x v="14"/>
    <n v="15805.96945858399"/>
  </r>
  <r>
    <x v="1"/>
    <x v="2"/>
    <x v="0"/>
    <x v="31"/>
    <n v="90000"/>
    <x v="1"/>
    <s v="45.59627914428711"/>
    <s v="8.954930305480957"/>
    <n v="4900"/>
    <x v="31"/>
    <n v="7393.6529372045916"/>
  </r>
  <r>
    <x v="0"/>
    <x v="0"/>
    <x v="0"/>
    <x v="27"/>
    <n v="97350"/>
    <x v="0"/>
    <s v="45.67852020263672"/>
    <s v="9.114620208740234"/>
    <n v="4900"/>
    <x v="27"/>
    <n v="9265.3846153846152"/>
  </r>
  <r>
    <x v="0"/>
    <x v="0"/>
    <x v="0"/>
    <x v="34"/>
    <n v="120000"/>
    <x v="1"/>
    <s v="45.62813186645508"/>
    <s v="9.045459747314453"/>
    <n v="4900"/>
    <x v="34"/>
    <n v="13443.830570902393"/>
  </r>
  <r>
    <x v="2"/>
    <x v="0"/>
    <x v="0"/>
    <x v="38"/>
    <n v="116000"/>
    <x v="0"/>
    <s v="45.000701904296875"/>
    <s v="7.682270050048828"/>
    <n v="4900"/>
    <x v="38"/>
    <n v="11492.942453854506"/>
  </r>
  <r>
    <x v="2"/>
    <x v="0"/>
    <x v="0"/>
    <x v="17"/>
    <n v="110969"/>
    <x v="0"/>
    <s v="44.643131256103516"/>
    <s v="10.934060096740723"/>
    <n v="4900"/>
    <x v="17"/>
    <n v="8870.715067893123"/>
  </r>
  <r>
    <x v="0"/>
    <x v="0"/>
    <x v="0"/>
    <x v="44"/>
    <n v="142000"/>
    <x v="0"/>
    <s v="44.2943000793457"/>
    <s v="9.674440383911133"/>
    <n v="4900"/>
    <x v="44"/>
    <n v="16061.357297799816"/>
  </r>
  <r>
    <x v="0"/>
    <x v="0"/>
    <x v="0"/>
    <x v="9"/>
    <n v="81900"/>
    <x v="0"/>
    <s v="45.44327163696289"/>
    <s v="10.230210304260254"/>
    <n v="4900"/>
    <x v="9"/>
    <n v="7170.4245622451435"/>
  </r>
  <r>
    <x v="2"/>
    <x v="0"/>
    <x v="0"/>
    <x v="0"/>
    <n v="88000"/>
    <x v="0"/>
    <s v="45.47121810913086"/>
    <s v="7.945320129394531"/>
    <n v="4900"/>
    <x v="0"/>
    <n v="6988.6858137510881"/>
  </r>
  <r>
    <x v="2"/>
    <x v="0"/>
    <x v="0"/>
    <x v="45"/>
    <n v="60000"/>
    <x v="1"/>
    <s v="45.62141036987305"/>
    <s v="12.45398998260498"/>
    <n v="4900"/>
    <x v="45"/>
    <n v="5621.1498973305961"/>
  </r>
  <r>
    <x v="0"/>
    <x v="0"/>
    <x v="0"/>
    <x v="46"/>
    <n v="139000"/>
    <x v="1"/>
    <s v="45.467960357666016"/>
    <s v="9.181779861450195"/>
    <n v="4900"/>
    <x v="46"/>
    <n v="15869.565217391304"/>
  </r>
  <r>
    <x v="1"/>
    <x v="1"/>
    <x v="0"/>
    <x v="0"/>
    <n v="97000"/>
    <x v="1"/>
    <s v="44.69559097290039"/>
    <s v="10.641249656677246"/>
    <n v="4900"/>
    <x v="0"/>
    <n v="7703.4377719756312"/>
  </r>
  <r>
    <x v="0"/>
    <x v="0"/>
    <x v="0"/>
    <x v="26"/>
    <n v="80000"/>
    <x v="0"/>
    <s v="42.42094039916992"/>
    <s v="12.109820365905762"/>
    <n v="4900"/>
    <x v="26"/>
    <n v="7267.2971627675461"/>
  </r>
  <r>
    <x v="0"/>
    <x v="3"/>
    <x v="0"/>
    <x v="35"/>
    <n v="123000"/>
    <x v="1"/>
    <s v="45.467960357666016"/>
    <s v="9.181779861450195"/>
    <n v="4900"/>
    <x v="35"/>
    <n v="13413.504631012845"/>
  </r>
  <r>
    <x v="1"/>
    <x v="0"/>
    <x v="0"/>
    <x v="38"/>
    <n v="160000"/>
    <x v="0"/>
    <s v="45.40547180175781"/>
    <s v="10.278289794921875"/>
    <n v="4900"/>
    <x v="38"/>
    <n v="15852.334419109664"/>
  </r>
  <r>
    <x v="1"/>
    <x v="1"/>
    <x v="0"/>
    <x v="45"/>
    <n v="157000"/>
    <x v="0"/>
    <s v="45.165409088134766"/>
    <s v="10.792420387268066"/>
    <n v="4900"/>
    <x v="45"/>
    <n v="14708.675564681726"/>
  </r>
  <r>
    <x v="0"/>
    <x v="0"/>
    <x v="0"/>
    <x v="47"/>
    <n v="125551"/>
    <x v="0"/>
    <s v="45.57223129272461"/>
    <s v="9.421950340270996"/>
    <n v="4900"/>
    <x v="47"/>
    <n v="12865.276530039304"/>
  </r>
  <r>
    <x v="0"/>
    <x v="0"/>
    <x v="0"/>
    <x v="48"/>
    <n v="81000"/>
    <x v="1"/>
    <s v="45.467960357666016"/>
    <s v="9.181779861450195"/>
    <n v="4900"/>
    <x v="48"/>
    <n v="6562.7081021087688"/>
  </r>
  <r>
    <x v="0"/>
    <x v="0"/>
    <x v="0"/>
    <x v="21"/>
    <n v="114000"/>
    <x v="1"/>
    <s v="41.15193176269531"/>
    <s v="16.416719436645508"/>
    <n v="4900"/>
    <x v="21"/>
    <n v="10053.152935491664"/>
  </r>
  <r>
    <x v="2"/>
    <x v="0"/>
    <x v="0"/>
    <x v="30"/>
    <n v="163000"/>
    <x v="1"/>
    <s v="45.66228103637695"/>
    <s v="9.63129997253418"/>
    <n v="4900"/>
    <x v="30"/>
    <n v="14693.75154359101"/>
  </r>
  <r>
    <x v="2"/>
    <x v="0"/>
    <x v="0"/>
    <x v="24"/>
    <n v="136000"/>
    <x v="0"/>
    <s v="45.58345031738281"/>
    <s v="9.488249778747559"/>
    <n v="4900"/>
    <x v="24"/>
    <n v="13701.352470328457"/>
  </r>
  <r>
    <x v="0"/>
    <x v="0"/>
    <x v="0"/>
    <x v="22"/>
    <n v="130000"/>
    <x v="0"/>
    <s v="45.59859848022461"/>
    <s v="9.164039611816406"/>
    <n v="4900"/>
    <x v="22"/>
    <n v="10605.721949038891"/>
  </r>
  <r>
    <x v="2"/>
    <x v="0"/>
    <x v="0"/>
    <x v="14"/>
    <n v="132848"/>
    <x v="0"/>
    <s v="45.63243103027344"/>
    <s v="8.888850212097168"/>
    <n v="4900"/>
    <x v="14"/>
    <n v="11219.231837112447"/>
  </r>
  <r>
    <x v="0"/>
    <x v="0"/>
    <x v="0"/>
    <x v="22"/>
    <n v="89000"/>
    <x v="0"/>
    <s v="45.51148986816406"/>
    <s v="10.114720344543457"/>
    <n v="4900"/>
    <x v="22"/>
    <n v="7260.8404112650869"/>
  </r>
  <r>
    <x v="0"/>
    <x v="2"/>
    <x v="0"/>
    <x v="26"/>
    <n v="126000"/>
    <x v="1"/>
    <s v="45.70724868774414"/>
    <s v="11.47760009765625"/>
    <n v="4900"/>
    <x v="26"/>
    <n v="11445.993031358885"/>
  </r>
  <r>
    <x v="2"/>
    <x v="0"/>
    <x v="0"/>
    <x v="17"/>
    <n v="140000"/>
    <x v="1"/>
    <s v="42.717350006103516"/>
    <s v="12.10457992553711"/>
    <n v="4900"/>
    <x v="17"/>
    <n v="11191.414805081033"/>
  </r>
  <r>
    <x v="0"/>
    <x v="0"/>
    <x v="0"/>
    <x v="3"/>
    <n v="111000"/>
    <x v="0"/>
    <s v="43.85586929321289"/>
    <s v="10.567410469055176"/>
    <n v="4900"/>
    <x v="3"/>
    <n v="10238.817285822593"/>
  </r>
  <r>
    <x v="0"/>
    <x v="0"/>
    <x v="0"/>
    <x v="21"/>
    <n v="114000"/>
    <x v="1"/>
    <s v="41.15193176269531"/>
    <s v="16.416719436645508"/>
    <n v="4900"/>
    <x v="21"/>
    <n v="10053.152935491664"/>
  </r>
  <r>
    <x v="2"/>
    <x v="0"/>
    <x v="0"/>
    <x v="30"/>
    <n v="163000"/>
    <x v="1"/>
    <s v="45.66228103637695"/>
    <s v="9.63129997253418"/>
    <n v="4900"/>
    <x v="30"/>
    <n v="14693.75154359101"/>
  </r>
  <r>
    <x v="2"/>
    <x v="0"/>
    <x v="0"/>
    <x v="24"/>
    <n v="136000"/>
    <x v="0"/>
    <s v="45.58345031738281"/>
    <s v="9.488249778747559"/>
    <n v="4900"/>
    <x v="24"/>
    <n v="13701.352470328457"/>
  </r>
  <r>
    <x v="0"/>
    <x v="0"/>
    <x v="0"/>
    <x v="22"/>
    <n v="130000"/>
    <x v="0"/>
    <s v="45.59859848022461"/>
    <s v="9.164039611816406"/>
    <n v="4900"/>
    <x v="22"/>
    <n v="10605.721949038891"/>
  </r>
  <r>
    <x v="2"/>
    <x v="0"/>
    <x v="0"/>
    <x v="14"/>
    <n v="132848"/>
    <x v="0"/>
    <s v="45.63243103027344"/>
    <s v="8.888850212097168"/>
    <n v="4900"/>
    <x v="14"/>
    <n v="11219.231837112447"/>
  </r>
  <r>
    <x v="0"/>
    <x v="0"/>
    <x v="0"/>
    <x v="22"/>
    <n v="89000"/>
    <x v="0"/>
    <s v="45.51148986816406"/>
    <s v="10.114720344543457"/>
    <n v="4900"/>
    <x v="22"/>
    <n v="7260.8404112650869"/>
  </r>
  <r>
    <x v="0"/>
    <x v="2"/>
    <x v="0"/>
    <x v="26"/>
    <n v="126000"/>
    <x v="1"/>
    <s v="45.70724868774414"/>
    <s v="11.47760009765625"/>
    <n v="4900"/>
    <x v="26"/>
    <n v="11445.993031358885"/>
  </r>
  <r>
    <x v="2"/>
    <x v="0"/>
    <x v="0"/>
    <x v="17"/>
    <n v="140000"/>
    <x v="1"/>
    <s v="42.717350006103516"/>
    <s v="12.10457992553711"/>
    <n v="4900"/>
    <x v="17"/>
    <n v="11191.414805081033"/>
  </r>
  <r>
    <x v="0"/>
    <x v="0"/>
    <x v="0"/>
    <x v="3"/>
    <n v="111000"/>
    <x v="0"/>
    <s v="43.85586929321289"/>
    <s v="10.567410469055176"/>
    <n v="4900"/>
    <x v="3"/>
    <n v="10238.817285822593"/>
  </r>
  <r>
    <x v="2"/>
    <x v="0"/>
    <x v="0"/>
    <x v="14"/>
    <n v="132850"/>
    <x v="1"/>
    <s v="45.725730895996094"/>
    <s v="8.635490417480469"/>
    <n v="4900"/>
    <x v="14"/>
    <n v="11219.400740397965"/>
  </r>
  <r>
    <x v="2"/>
    <x v="0"/>
    <x v="0"/>
    <x v="3"/>
    <n v="148700"/>
    <x v="0"/>
    <s v="43.61848831176758"/>
    <s v="13.508979797363281"/>
    <n v="4900"/>
    <x v="3"/>
    <n v="13716.325499115492"/>
  </r>
  <r>
    <x v="2"/>
    <x v="0"/>
    <x v="0"/>
    <x v="3"/>
    <n v="148700"/>
    <x v="0"/>
    <s v="41.12586975097656"/>
    <s v="16.86665916442871"/>
    <n v="4900"/>
    <x v="3"/>
    <n v="13716.325499115492"/>
  </r>
  <r>
    <x v="2"/>
    <x v="0"/>
    <x v="0"/>
    <x v="3"/>
    <n v="148700"/>
    <x v="0"/>
    <s v="41.12586975097656"/>
    <s v="16.86665916442871"/>
    <n v="4900"/>
    <x v="3"/>
    <n v="13716.325499115492"/>
  </r>
  <r>
    <x v="2"/>
    <x v="3"/>
    <x v="0"/>
    <x v="37"/>
    <n v="120000"/>
    <x v="1"/>
    <s v="45.069679260253906"/>
    <s v="7.704919815063477"/>
    <n v="4900"/>
    <x v="37"/>
    <n v="14537.006306007303"/>
  </r>
  <r>
    <x v="2"/>
    <x v="0"/>
    <x v="0"/>
    <x v="8"/>
    <n v="125000"/>
    <x v="0"/>
    <s v="43.758079528808594"/>
    <s v="11.184659957885742"/>
    <n v="4900"/>
    <x v="8"/>
    <n v="11190.826588177581"/>
  </r>
  <r>
    <x v="0"/>
    <x v="2"/>
    <x v="0"/>
    <x v="28"/>
    <n v="96000"/>
    <x v="0"/>
    <s v="45.67472839355469"/>
    <s v="8.739899635314941"/>
    <n v="4900"/>
    <x v="28"/>
    <n v="9065.976714100907"/>
  </r>
  <r>
    <x v="2"/>
    <x v="0"/>
    <x v="0"/>
    <x v="9"/>
    <n v="100000"/>
    <x v="0"/>
    <s v="37.51087188720703"/>
    <s v="13.079710006713867"/>
    <n v="4900"/>
    <x v="9"/>
    <n v="8755.0971455984654"/>
  </r>
  <r>
    <x v="2"/>
    <x v="0"/>
    <x v="0"/>
    <x v="49"/>
    <n v="128963"/>
    <x v="0"/>
    <s v="45.7646484375"/>
    <s v="8.994500160217285"/>
    <n v="4900"/>
    <x v="49"/>
    <n v="12575.873630777452"/>
  </r>
  <r>
    <x v="0"/>
    <x v="0"/>
    <x v="0"/>
    <x v="11"/>
    <n v="115000"/>
    <x v="0"/>
    <s v="44.4103889465332"/>
    <s v="8.938980102539062"/>
    <n v="4900"/>
    <x v="11"/>
    <n v="11122.151563328034"/>
  </r>
  <r>
    <x v="2"/>
    <x v="0"/>
    <x v="0"/>
    <x v="10"/>
    <n v="101256"/>
    <x v="0"/>
    <s v="38.42675018310547"/>
    <s v="15.89861011505127"/>
    <n v="4900"/>
    <x v="10"/>
    <n v="8149.6008820286661"/>
  </r>
  <r>
    <x v="0"/>
    <x v="0"/>
    <x v="1"/>
    <x v="23"/>
    <n v="90068"/>
    <x v="1"/>
    <s v="41.72669982910156"/>
    <s v="13.00979995727539"/>
    <n v="4950"/>
    <x v="23"/>
    <n v="7552.2214564668047"/>
  </r>
  <r>
    <x v="0"/>
    <x v="0"/>
    <x v="0"/>
    <x v="33"/>
    <n v="85000"/>
    <x v="1"/>
    <s v="45.606971740722656"/>
    <s v="9.629229545593262"/>
    <n v="4990"/>
    <x v="33"/>
    <n v="8493.0194360799342"/>
  </r>
  <r>
    <x v="2"/>
    <x v="0"/>
    <x v="0"/>
    <x v="45"/>
    <n v="88296"/>
    <x v="1"/>
    <s v="43.33272171020508"/>
    <s v="11.719329833984375"/>
    <n v="4990"/>
    <x v="45"/>
    <n v="8272.0841889117037"/>
  </r>
  <r>
    <x v="0"/>
    <x v="0"/>
    <x v="0"/>
    <x v="38"/>
    <n v="119000"/>
    <x v="1"/>
    <s v="44.102020263671875"/>
    <s v="9.820240020751953"/>
    <n v="4990"/>
    <x v="38"/>
    <n v="11790.173724212813"/>
  </r>
  <r>
    <x v="0"/>
    <x v="3"/>
    <x v="0"/>
    <x v="19"/>
    <n v="110000"/>
    <x v="0"/>
    <s v="40.835811614990234"/>
    <s v="14.504409790039062"/>
    <n v="4990"/>
    <x v="19"/>
    <n v="11570.605187319885"/>
  </r>
  <r>
    <x v="1"/>
    <x v="1"/>
    <x v="0"/>
    <x v="41"/>
    <n v="147448"/>
    <x v="0"/>
    <s v="45.320011138916016"/>
    <s v="10.578590393066406"/>
    <n v="4990"/>
    <x v="41"/>
    <n v="15649.467868566444"/>
  </r>
  <r>
    <x v="0"/>
    <x v="0"/>
    <x v="0"/>
    <x v="3"/>
    <n v="136000"/>
    <x v="1"/>
    <s v="41.152061462402344"/>
    <s v="15.083089828491211"/>
    <n v="4990"/>
    <x v="3"/>
    <n v="12544.857215061917"/>
  </r>
  <r>
    <x v="1"/>
    <x v="0"/>
    <x v="0"/>
    <x v="0"/>
    <n v="115000"/>
    <x v="1"/>
    <s v="45.783668518066406"/>
    <s v="8.967240333557129"/>
    <n v="4999"/>
    <x v="0"/>
    <n v="9132.9416884247166"/>
  </r>
  <r>
    <x v="2"/>
    <x v="0"/>
    <x v="0"/>
    <x v="43"/>
    <n v="95000"/>
    <x v="3"/>
    <s v="46.02119064331055"/>
    <s v="9.238750457763672"/>
    <n v="4999"/>
    <x v="43"/>
    <n v="8694.8345035105322"/>
  </r>
  <r>
    <x v="0"/>
    <x v="0"/>
    <x v="0"/>
    <x v="50"/>
    <n v="129000"/>
    <x v="0"/>
    <s v="41.903221130371094"/>
    <s v="12.495650291442871"/>
    <n v="4999"/>
    <x v="50"/>
    <n v="13108.296213808464"/>
  </r>
  <r>
    <x v="0"/>
    <x v="0"/>
    <x v="0"/>
    <x v="16"/>
    <n v="110000"/>
    <x v="1"/>
    <s v="41.903221130371094"/>
    <s v="12.495650291442871"/>
    <n v="4999"/>
    <x v="16"/>
    <n v="9559.5238095238092"/>
  </r>
  <r>
    <x v="1"/>
    <x v="2"/>
    <x v="0"/>
    <x v="7"/>
    <n v="104269"/>
    <x v="0"/>
    <s v="40.40106964111328"/>
    <s v="15.592869758605957"/>
    <n v="4999"/>
    <x v="7"/>
    <n v="8622.1533756230183"/>
  </r>
  <r>
    <x v="0"/>
    <x v="0"/>
    <x v="0"/>
    <x v="2"/>
    <n v="112400"/>
    <x v="1"/>
    <s v="45.70610046386719"/>
    <s v="11.80737018585205"/>
    <n v="5000"/>
    <x v="2"/>
    <n v="9558.7138863000928"/>
  </r>
  <r>
    <x v="0"/>
    <x v="0"/>
    <x v="0"/>
    <x v="2"/>
    <n v="65000"/>
    <x v="1"/>
    <s v="44.58037185668945"/>
    <s v="10.731550216674805"/>
    <n v="5000"/>
    <x v="2"/>
    <n v="5527.7260018639327"/>
  </r>
  <r>
    <x v="1"/>
    <x v="0"/>
    <x v="0"/>
    <x v="22"/>
    <n v="184000"/>
    <x v="1"/>
    <s v="43.8820686340332"/>
    <s v="11.100350379943848"/>
    <n v="5000"/>
    <x v="22"/>
    <n v="15011.175681716584"/>
  </r>
  <r>
    <x v="2"/>
    <x v="0"/>
    <x v="0"/>
    <x v="24"/>
    <n v="119800"/>
    <x v="0"/>
    <s v="45.44013977050781"/>
    <s v="10.689800262451172"/>
    <n v="5000"/>
    <x v="24"/>
    <n v="12069.279602539333"/>
  </r>
  <r>
    <x v="0"/>
    <x v="0"/>
    <x v="0"/>
    <x v="18"/>
    <n v="124000"/>
    <x v="0"/>
    <s v="45.534080505371094"/>
    <s v="10.144610404968262"/>
    <n v="5000"/>
    <x v="18"/>
    <n v="10699.763593380616"/>
  </r>
  <r>
    <x v="2"/>
    <x v="0"/>
    <x v="0"/>
    <x v="22"/>
    <n v="56000"/>
    <x v="1"/>
    <s v="40.96757125854492"/>
    <s v="14.2079496383667"/>
    <n v="5000"/>
    <x v="22"/>
    <n v="4568.6186857398297"/>
  </r>
  <r>
    <x v="2"/>
    <x v="0"/>
    <x v="0"/>
    <x v="39"/>
    <n v="119000"/>
    <x v="1"/>
    <s v="45.61186981201172"/>
    <s v="8.85474967956543"/>
    <n v="5000"/>
    <x v="39"/>
    <n v="10193.616521943206"/>
  </r>
  <r>
    <x v="0"/>
    <x v="0"/>
    <x v="0"/>
    <x v="22"/>
    <n v="113000"/>
    <x v="1"/>
    <s v="45.467960357666016"/>
    <s v="9.181779861450195"/>
    <n v="5000"/>
    <x v="22"/>
    <n v="9218.8198480107276"/>
  </r>
  <r>
    <x v="1"/>
    <x v="0"/>
    <x v="0"/>
    <x v="23"/>
    <n v="132000"/>
    <x v="0"/>
    <s v="44.055419921875"/>
    <s v="12.570039749145508"/>
    <n v="5000"/>
    <x v="23"/>
    <n v="11068.228807718815"/>
  </r>
  <r>
    <x v="1"/>
    <x v="0"/>
    <x v="0"/>
    <x v="6"/>
    <n v="100000"/>
    <x v="1"/>
    <s v="42.717350006103516"/>
    <s v="12.10457992553711"/>
    <n v="5000"/>
    <x v="6"/>
    <n v="7835.9811077715758"/>
  </r>
  <r>
    <x v="0"/>
    <x v="3"/>
    <x v="0"/>
    <x v="51"/>
    <n v="161000"/>
    <x v="1"/>
    <s v="41.265769958496094"/>
    <s v="15.894920349121094"/>
    <n v="5000"/>
    <x v="51"/>
    <n v="17705.634227176863"/>
  </r>
  <r>
    <x v="0"/>
    <x v="0"/>
    <x v="1"/>
    <x v="20"/>
    <n v="90000"/>
    <x v="0"/>
    <s v="45.783668518066406"/>
    <s v="8.967240333557129"/>
    <n v="5000"/>
    <x v="20"/>
    <n v="7996.5920155793574"/>
  </r>
  <r>
    <x v="0"/>
    <x v="0"/>
    <x v="0"/>
    <x v="30"/>
    <n v="130000"/>
    <x v="3"/>
    <s v="38.42675018310547"/>
    <s v="15.89861011505127"/>
    <n v="5000"/>
    <x v="30"/>
    <n v="11718.942948876265"/>
  </r>
  <r>
    <x v="0"/>
    <x v="0"/>
    <x v="0"/>
    <x v="18"/>
    <n v="157345"/>
    <x v="0"/>
    <s v="45.930721282958984"/>
    <s v="12.729069709777832"/>
    <n v="5000"/>
    <x v="18"/>
    <n v="13577.050827423169"/>
  </r>
  <r>
    <x v="0"/>
    <x v="2"/>
    <x v="1"/>
    <x v="18"/>
    <n v="115000"/>
    <x v="0"/>
    <s v="44.43400955200195"/>
    <s v="10.406539916992188"/>
    <n v="5000"/>
    <x v="18"/>
    <n v="9923.1678486997644"/>
  </r>
  <r>
    <x v="0"/>
    <x v="0"/>
    <x v="1"/>
    <x v="28"/>
    <n v="152837"/>
    <x v="1"/>
    <s v="45.06888961791992"/>
    <s v="9.266180038452148"/>
    <n v="5000"/>
    <x v="28"/>
    <n v="14433.507115135835"/>
  </r>
  <r>
    <x v="1"/>
    <x v="2"/>
    <x v="0"/>
    <x v="31"/>
    <n v="158000"/>
    <x v="1"/>
    <s v="44.055419921875"/>
    <s v="12.570039749145508"/>
    <n v="5000"/>
    <x v="31"/>
    <n v="12979.968489759172"/>
  </r>
  <r>
    <x v="0"/>
    <x v="0"/>
    <x v="0"/>
    <x v="43"/>
    <n v="135000"/>
    <x v="0"/>
    <s v="45.63404083251953"/>
    <s v="10.194869995117188"/>
    <n v="5050"/>
    <x v="43"/>
    <n v="12355.817452357071"/>
  </r>
  <r>
    <x v="0"/>
    <x v="0"/>
    <x v="0"/>
    <x v="22"/>
    <n v="55900"/>
    <x v="1"/>
    <s v="43.93788146972656"/>
    <s v="12.711130142211914"/>
    <n v="5100"/>
    <x v="22"/>
    <n v="4560.4604380867231"/>
  </r>
  <r>
    <x v="2"/>
    <x v="0"/>
    <x v="0"/>
    <x v="27"/>
    <n v="156000"/>
    <x v="1"/>
    <s v="41.319889068603516"/>
    <s v="16.279199600219727"/>
    <n v="5100"/>
    <x v="27"/>
    <n v="14847.457627118645"/>
  </r>
  <r>
    <x v="0"/>
    <x v="0"/>
    <x v="0"/>
    <x v="28"/>
    <n v="104238"/>
    <x v="0"/>
    <s v="43.467830657958984"/>
    <s v="11.143449783325195"/>
    <n v="5100"/>
    <x v="28"/>
    <n v="9843.9508408796901"/>
  </r>
  <r>
    <x v="2"/>
    <x v="0"/>
    <x v="0"/>
    <x v="5"/>
    <n v="129600"/>
    <x v="1"/>
    <s v="46.004150390625"/>
    <s v="8.30167007446289"/>
    <n v="5100"/>
    <x v="5"/>
    <n v="10792.607802874743"/>
  </r>
  <r>
    <x v="1"/>
    <x v="0"/>
    <x v="1"/>
    <x v="21"/>
    <n v="75000"/>
    <x v="1"/>
    <s v="44.97993850708008"/>
    <s v="11.979439735412598"/>
    <n v="5100"/>
    <x v="21"/>
    <n v="6613.9164049287265"/>
  </r>
  <r>
    <x v="0"/>
    <x v="0"/>
    <x v="0"/>
    <x v="43"/>
    <n v="92000"/>
    <x v="0"/>
    <s v="44.443519592285156"/>
    <s v="11.479880332946777"/>
    <n v="5100"/>
    <x v="43"/>
    <n v="8420.2607823470407"/>
  </r>
  <r>
    <x v="1"/>
    <x v="2"/>
    <x v="0"/>
    <x v="45"/>
    <n v="120000"/>
    <x v="0"/>
    <s v="44.2943000793457"/>
    <s v="9.674440383911133"/>
    <n v="5100"/>
    <x v="45"/>
    <n v="11242.299794661192"/>
  </r>
  <r>
    <x v="1"/>
    <x v="2"/>
    <x v="0"/>
    <x v="31"/>
    <n v="92000"/>
    <x v="1"/>
    <s v="45.467960357666016"/>
    <s v="9.181779861450195"/>
    <n v="5199"/>
    <x v="31"/>
    <n v="7557.9563358091382"/>
  </r>
  <r>
    <x v="2"/>
    <x v="0"/>
    <x v="1"/>
    <x v="52"/>
    <n v="82000"/>
    <x v="1"/>
    <s v="45.43830108642578"/>
    <s v="10.991700172424316"/>
    <n v="5200"/>
    <x v="52"/>
    <n v="54616.788321167878"/>
  </r>
  <r>
    <x v="1"/>
    <x v="0"/>
    <x v="0"/>
    <x v="23"/>
    <n v="119000"/>
    <x v="1"/>
    <s v="45.0472412109375"/>
    <s v="9.128809928894043"/>
    <n v="5200"/>
    <x v="23"/>
    <n v="9978.1759705949917"/>
  </r>
  <r>
    <x v="0"/>
    <x v="0"/>
    <x v="0"/>
    <x v="46"/>
    <n v="93986"/>
    <x v="1"/>
    <s v="45.737510681152344"/>
    <s v="7.320720195770264"/>
    <n v="5200"/>
    <x v="46"/>
    <n v="10730.337816703159"/>
  </r>
  <r>
    <x v="1"/>
    <x v="0"/>
    <x v="0"/>
    <x v="53"/>
    <n v="125000"/>
    <x v="1"/>
    <s v="45.851661682128906"/>
    <s v="9.39186954498291"/>
    <n v="5200"/>
    <x v="53"/>
    <n v="19725.464764375272"/>
  </r>
  <r>
    <x v="2"/>
    <x v="0"/>
    <x v="0"/>
    <x v="10"/>
    <n v="66416"/>
    <x v="0"/>
    <s v="44.236080169677734"/>
    <s v="9.723910331726074"/>
    <n v="5200"/>
    <x v="10"/>
    <n v="5345.4994487320837"/>
  </r>
  <r>
    <x v="0"/>
    <x v="0"/>
    <x v="0"/>
    <x v="22"/>
    <n v="61200"/>
    <x v="1"/>
    <s v="45.77690887451172"/>
    <s v="8.886119842529297"/>
    <n v="5200"/>
    <x v="22"/>
    <n v="4992.8475637013853"/>
  </r>
  <r>
    <x v="0"/>
    <x v="3"/>
    <x v="0"/>
    <x v="44"/>
    <n v="128000"/>
    <x v="1"/>
    <s v="44.4782600402832"/>
    <s v="11.009570121765137"/>
    <n v="5200"/>
    <x v="44"/>
    <n v="14477.843198016735"/>
  </r>
  <r>
    <x v="0"/>
    <x v="0"/>
    <x v="0"/>
    <x v="27"/>
    <n v="100000"/>
    <x v="1"/>
    <s v="45.40547180175781"/>
    <s v="10.278289794921875"/>
    <n v="5200"/>
    <x v="27"/>
    <n v="9517.6010430247716"/>
  </r>
  <r>
    <x v="0"/>
    <x v="0"/>
    <x v="0"/>
    <x v="54"/>
    <n v="150000"/>
    <x v="0"/>
    <s v="45.577781677246094"/>
    <s v="9.026339530944824"/>
    <n v="5200"/>
    <x v="54"/>
    <n v="19553.571428571431"/>
  </r>
  <r>
    <x v="1"/>
    <x v="0"/>
    <x v="0"/>
    <x v="40"/>
    <n v="115280"/>
    <x v="1"/>
    <s v="45.069679260253906"/>
    <s v="7.704919815063477"/>
    <n v="5200"/>
    <x v="40"/>
    <n v="11335.452586206895"/>
  </r>
  <r>
    <x v="0"/>
    <x v="0"/>
    <x v="0"/>
    <x v="35"/>
    <n v="111629"/>
    <x v="0"/>
    <s v="44.236080169677734"/>
    <s v="9.723910331726074"/>
    <n v="5200"/>
    <x v="35"/>
    <n v="12173.464296384822"/>
  </r>
  <r>
    <x v="0"/>
    <x v="0"/>
    <x v="0"/>
    <x v="16"/>
    <n v="108852"/>
    <x v="1"/>
    <s v="45.069679260253906"/>
    <s v="7.704919815063477"/>
    <n v="5200"/>
    <x v="16"/>
    <n v="9459.7571428571428"/>
  </r>
  <r>
    <x v="0"/>
    <x v="0"/>
    <x v="0"/>
    <x v="27"/>
    <n v="100000"/>
    <x v="1"/>
    <s v="44.717838287353516"/>
    <s v="8.287130355834961"/>
    <n v="5200"/>
    <x v="27"/>
    <n v="9517.6010430247716"/>
  </r>
  <r>
    <x v="0"/>
    <x v="0"/>
    <x v="1"/>
    <x v="3"/>
    <n v="110000"/>
    <x v="1"/>
    <s v="41.450721740722656"/>
    <s v="12.625020027160645"/>
    <n v="5200"/>
    <x v="3"/>
    <n v="10146.57568865302"/>
  </r>
  <r>
    <x v="2"/>
    <x v="0"/>
    <x v="0"/>
    <x v="21"/>
    <n v="113000"/>
    <x v="1"/>
    <s v="45.74502182006836"/>
    <s v="9.61596965789795"/>
    <n v="5200"/>
    <x v="21"/>
    <n v="9964.9673834259484"/>
  </r>
  <r>
    <x v="0"/>
    <x v="0"/>
    <x v="0"/>
    <x v="20"/>
    <n v="138000"/>
    <x v="1"/>
    <s v="45.5501708984375"/>
    <s v="12.071880340576172"/>
    <n v="5200"/>
    <x v="20"/>
    <n v="12261.441090555016"/>
  </r>
  <r>
    <x v="2"/>
    <x v="0"/>
    <x v="0"/>
    <x v="12"/>
    <n v="92000"/>
    <x v="1"/>
    <s v="45.05659866333008"/>
    <s v="9.701760292053223"/>
    <n v="5200"/>
    <x v="12"/>
    <n v="8827.5499474237658"/>
  </r>
  <r>
    <x v="0"/>
    <x v="0"/>
    <x v="0"/>
    <x v="38"/>
    <n v="104000"/>
    <x v="1"/>
    <s v="44.4103889465332"/>
    <s v="8.938980102539062"/>
    <n v="5200"/>
    <x v="38"/>
    <n v="10304.017372421282"/>
  </r>
  <r>
    <x v="0"/>
    <x v="0"/>
    <x v="0"/>
    <x v="27"/>
    <n v="124000"/>
    <x v="0"/>
    <s v="45.695228576660156"/>
    <s v="9.669509887695312"/>
    <n v="5200"/>
    <x v="27"/>
    <n v="11801.825293350717"/>
  </r>
  <r>
    <x v="2"/>
    <x v="0"/>
    <x v="0"/>
    <x v="2"/>
    <n v="122900"/>
    <x v="1"/>
    <s v="43.49468994140625"/>
    <s v="13.081609725952148"/>
    <n v="5200"/>
    <x v="2"/>
    <n v="10451.654240447344"/>
  </r>
  <r>
    <x v="1"/>
    <x v="2"/>
    <x v="0"/>
    <x v="16"/>
    <n v="112500"/>
    <x v="1"/>
    <s v="46.78165054321289"/>
    <s v="11.687529563903809"/>
    <n v="5200"/>
    <x v="16"/>
    <n v="9776.7857142857138"/>
  </r>
  <r>
    <x v="0"/>
    <x v="0"/>
    <x v="0"/>
    <x v="18"/>
    <n v="138000"/>
    <x v="0"/>
    <s v="43.623329162597656"/>
    <s v="11.463540077209473"/>
    <n v="5200"/>
    <x v="18"/>
    <n v="11907.801418439718"/>
  </r>
  <r>
    <x v="2"/>
    <x v="0"/>
    <x v="0"/>
    <x v="7"/>
    <n v="69000"/>
    <x v="0"/>
    <s v="45.05659866333008"/>
    <s v="9.701760292053223"/>
    <n v="5290"/>
    <x v="7"/>
    <n v="5705.7091073855918"/>
  </r>
  <r>
    <x v="0"/>
    <x v="0"/>
    <x v="0"/>
    <x v="10"/>
    <n v="41500"/>
    <x v="1"/>
    <s v="45.069679260253906"/>
    <s v="7.704919815063477"/>
    <n v="5290"/>
    <x v="10"/>
    <n v="3340.1323042998897"/>
  </r>
  <r>
    <x v="0"/>
    <x v="3"/>
    <x v="0"/>
    <x v="55"/>
    <n v="97000"/>
    <x v="1"/>
    <s v="41.77008056640625"/>
    <s v="12.227109909057617"/>
    <n v="5290"/>
    <x v="55"/>
    <n v="10115.714285714286"/>
  </r>
  <r>
    <x v="0"/>
    <x v="0"/>
    <x v="0"/>
    <x v="33"/>
    <n v="122649"/>
    <x v="0"/>
    <s v="44.643131256103516"/>
    <s v="10.934060096740723"/>
    <n v="5300"/>
    <x v="33"/>
    <n v="12254.827539009035"/>
  </r>
  <r>
    <x v="1"/>
    <x v="2"/>
    <x v="0"/>
    <x v="2"/>
    <n v="78000"/>
    <x v="1"/>
    <s v="45.73822021484375"/>
    <s v="11.550100326538086"/>
    <n v="5300"/>
    <x v="2"/>
    <n v="6633.2712022367195"/>
  </r>
  <r>
    <x v="2"/>
    <x v="0"/>
    <x v="0"/>
    <x v="25"/>
    <n v="123000"/>
    <x v="1"/>
    <s v="42.17026901245117"/>
    <s v="12.59807014465332"/>
    <n v="5300"/>
    <x v="25"/>
    <n v="11432.391138273491"/>
  </r>
  <r>
    <x v="2"/>
    <x v="0"/>
    <x v="0"/>
    <x v="8"/>
    <n v="79890"/>
    <x v="1"/>
    <s v="45.700599670410156"/>
    <s v="9.208419799804688"/>
    <n v="5300"/>
    <x v="8"/>
    <n v="7152.2810890360552"/>
  </r>
  <r>
    <x v="0"/>
    <x v="0"/>
    <x v="1"/>
    <x v="24"/>
    <n v="97000"/>
    <x v="0"/>
    <s v="45.467960357666016"/>
    <s v="9.181779861450195"/>
    <n v="5300"/>
    <x v="24"/>
    <n v="9772.2881589842673"/>
  </r>
  <r>
    <x v="2"/>
    <x v="1"/>
    <x v="0"/>
    <x v="8"/>
    <n v="70555"/>
    <x v="0"/>
    <s v="41.903221130371094"/>
    <s v="12.495650291442871"/>
    <n v="5300"/>
    <x v="8"/>
    <n v="6316.5501594309535"/>
  </r>
  <r>
    <x v="0"/>
    <x v="0"/>
    <x v="0"/>
    <x v="39"/>
    <n v="104000"/>
    <x v="1"/>
    <s v="43.95988845825195"/>
    <s v="10.22819995880127"/>
    <n v="5300"/>
    <x v="39"/>
    <n v="8908.7068763201132"/>
  </r>
  <r>
    <x v="0"/>
    <x v="0"/>
    <x v="0"/>
    <x v="20"/>
    <n v="91801"/>
    <x v="1"/>
    <s v="45.07133102416992"/>
    <s v="7.515940189361572"/>
    <n v="5300"/>
    <x v="20"/>
    <n v="8156.6127069133399"/>
  </r>
  <r>
    <x v="1"/>
    <x v="2"/>
    <x v="0"/>
    <x v="4"/>
    <n v="101000"/>
    <x v="1"/>
    <s v="45.21854019165039"/>
    <s v="12.278389930725098"/>
    <n v="5300"/>
    <x v="4"/>
    <n v="7967.3654635833145"/>
  </r>
  <r>
    <x v="0"/>
    <x v="0"/>
    <x v="0"/>
    <x v="36"/>
    <n v="118000"/>
    <x v="0"/>
    <s v="43.67036819458008"/>
    <s v="10.58292007446289"/>
    <n v="5300"/>
    <x v="36"/>
    <n v="12197.677711696404"/>
  </r>
  <r>
    <x v="1"/>
    <x v="0"/>
    <x v="0"/>
    <x v="34"/>
    <n v="120000"/>
    <x v="0"/>
    <s v="45.94429016113281"/>
    <s v="9.127670288085938"/>
    <n v="5300"/>
    <x v="34"/>
    <n v="13443.830570902393"/>
  </r>
  <r>
    <x v="0"/>
    <x v="0"/>
    <x v="0"/>
    <x v="2"/>
    <n v="124000"/>
    <x v="1"/>
    <s v="41.903221130371094"/>
    <s v="12.495650291442871"/>
    <n v="5300"/>
    <x v="2"/>
    <n v="10545.200372786579"/>
  </r>
  <r>
    <x v="0"/>
    <x v="0"/>
    <x v="0"/>
    <x v="5"/>
    <n v="122500"/>
    <x v="0"/>
    <s v="45.873451232910156"/>
    <s v="11.947270393371582"/>
    <n v="5300"/>
    <x v="5"/>
    <n v="10201.34610997034"/>
  </r>
  <r>
    <x v="0"/>
    <x v="3"/>
    <x v="0"/>
    <x v="55"/>
    <n v="94000"/>
    <x v="0"/>
    <s v="43.111358642578125"/>
    <s v="12.383919715881348"/>
    <n v="5300"/>
    <x v="55"/>
    <n v="9802.8571428571431"/>
  </r>
  <r>
    <x v="0"/>
    <x v="0"/>
    <x v="0"/>
    <x v="20"/>
    <n v="119000"/>
    <x v="0"/>
    <s v="42.81499099731445"/>
    <s v="10.32472038269043"/>
    <n v="5300"/>
    <x v="20"/>
    <n v="10573.271665043818"/>
  </r>
  <r>
    <x v="2"/>
    <x v="3"/>
    <x v="0"/>
    <x v="56"/>
    <n v="148000"/>
    <x v="0"/>
    <s v="44.90724182128906"/>
    <s v="8.611559867858887"/>
    <n v="5300"/>
    <x v="56"/>
    <n v="17397.745571658616"/>
  </r>
  <r>
    <x v="0"/>
    <x v="2"/>
    <x v="0"/>
    <x v="6"/>
    <n v="131300"/>
    <x v="0"/>
    <s v="44.11574935913086"/>
    <s v="12.33926010131836"/>
    <n v="5300"/>
    <x v="6"/>
    <n v="10288.64319450408"/>
  </r>
  <r>
    <x v="2"/>
    <x v="0"/>
    <x v="0"/>
    <x v="28"/>
    <n v="120500"/>
    <x v="1"/>
    <s v="44.102020263671875"/>
    <s v="9.820240020751953"/>
    <n v="5300"/>
    <x v="28"/>
    <n v="11379.689521345408"/>
  </r>
  <r>
    <x v="1"/>
    <x v="0"/>
    <x v="0"/>
    <x v="9"/>
    <n v="83861"/>
    <x v="1"/>
    <s v="45.70109939575195"/>
    <s v="9.289250373840332"/>
    <n v="5300"/>
    <x v="9"/>
    <n v="7342.1120172703286"/>
  </r>
  <r>
    <x v="0"/>
    <x v="0"/>
    <x v="0"/>
    <x v="8"/>
    <n v="168000"/>
    <x v="0"/>
    <s v="44.65456008911133"/>
    <s v="10.782389640808105"/>
    <n v="5350"/>
    <x v="8"/>
    <n v="15040.470934510668"/>
  </r>
  <r>
    <x v="0"/>
    <x v="0"/>
    <x v="1"/>
    <x v="14"/>
    <n v="117000"/>
    <x v="1"/>
    <s v="45.32979965209961"/>
    <s v="10.126799583435059"/>
    <n v="5399"/>
    <x v="14"/>
    <n v="9880.8422026839435"/>
  </r>
  <r>
    <x v="0"/>
    <x v="0"/>
    <x v="0"/>
    <x v="12"/>
    <n v="87000"/>
    <x v="0"/>
    <s v="45.548221588134766"/>
    <s v="9.186090469360352"/>
    <n v="5399"/>
    <x v="12"/>
    <n v="8347.7917981072569"/>
  </r>
  <r>
    <x v="1"/>
    <x v="0"/>
    <x v="0"/>
    <x v="3"/>
    <n v="144000"/>
    <x v="0"/>
    <s v="45.25823974609375"/>
    <s v="10.73567008972168"/>
    <n v="5399"/>
    <x v="3"/>
    <n v="13282.7899924185"/>
  </r>
  <r>
    <x v="1"/>
    <x v="0"/>
    <x v="0"/>
    <x v="33"/>
    <n v="82500"/>
    <x v="1"/>
    <s v="44.512428283691406"/>
    <s v="11.128379821777344"/>
    <n v="5400"/>
    <x v="33"/>
    <n v="8243.2247467834659"/>
  </r>
  <r>
    <x v="1"/>
    <x v="0"/>
    <x v="0"/>
    <x v="7"/>
    <n v="177000"/>
    <x v="1"/>
    <s v="46.49528121948242"/>
    <s v="11.353460311889648"/>
    <n v="5400"/>
    <x v="7"/>
    <n v="14636.384231989126"/>
  </r>
  <r>
    <x v="0"/>
    <x v="0"/>
    <x v="0"/>
    <x v="35"/>
    <n v="133000"/>
    <x v="0"/>
    <s v="41.299560546875"/>
    <s v="13.03258991241455"/>
    <n v="5400"/>
    <x v="35"/>
    <n v="14504.033462802508"/>
  </r>
  <r>
    <x v="1"/>
    <x v="0"/>
    <x v="0"/>
    <x v="23"/>
    <n v="77457"/>
    <x v="3"/>
    <s v="44.988739013671875"/>
    <s v="9.010499954223633"/>
    <n v="5400"/>
    <x v="23"/>
    <n v="6494.7863542384566"/>
  </r>
  <r>
    <x v="0"/>
    <x v="0"/>
    <x v="0"/>
    <x v="22"/>
    <n v="143900"/>
    <x v="0"/>
    <s v="44.643131256103516"/>
    <s v="10.934060096740723"/>
    <n v="5400"/>
    <x v="22"/>
    <n v="11739.718372820742"/>
  </r>
  <r>
    <x v="0"/>
    <x v="0"/>
    <x v="0"/>
    <x v="34"/>
    <n v="136200"/>
    <x v="0"/>
    <s v="43.8820686340332"/>
    <s v="11.100350379943848"/>
    <n v="5400"/>
    <x v="34"/>
    <n v="15258.747697974217"/>
  </r>
  <r>
    <x v="0"/>
    <x v="0"/>
    <x v="0"/>
    <x v="13"/>
    <n v="128000"/>
    <x v="1"/>
    <s v="41.450721740722656"/>
    <s v="12.625020027160645"/>
    <n v="5400"/>
    <x v="13"/>
    <n v="14209.245742092458"/>
  </r>
  <r>
    <x v="0"/>
    <x v="0"/>
    <x v="0"/>
    <x v="51"/>
    <n v="161674"/>
    <x v="1"/>
    <s v="45.733741760253906"/>
    <s v="11.524709701538086"/>
    <n v="5400"/>
    <x v="51"/>
    <n v="17779.755950587525"/>
  </r>
  <r>
    <x v="0"/>
    <x v="0"/>
    <x v="0"/>
    <x v="57"/>
    <n v="98000"/>
    <x v="1"/>
    <s v="45.490631103515625"/>
    <s v="9.294730186462402"/>
    <n v="5400"/>
    <x v="57"/>
    <n v="11298.168035375869"/>
  </r>
  <r>
    <x v="0"/>
    <x v="0"/>
    <x v="0"/>
    <x v="2"/>
    <n v="97000"/>
    <x v="1"/>
    <s v="44.68560028076172"/>
    <s v="8.889610290527344"/>
    <n v="5400"/>
    <x v="2"/>
    <n v="8249.0680335507914"/>
  </r>
  <r>
    <x v="0"/>
    <x v="0"/>
    <x v="0"/>
    <x v="58"/>
    <n v="124900"/>
    <x v="1"/>
    <s v="45.51205062866211"/>
    <s v="10.427009582519531"/>
    <n v="5450"/>
    <x v="58"/>
    <n v="15287.894030851776"/>
  </r>
  <r>
    <x v="0"/>
    <x v="0"/>
    <x v="0"/>
    <x v="4"/>
    <n v="158222"/>
    <x v="1"/>
    <s v="42.32231903076172"/>
    <s v="12.053770065307617"/>
    <n v="5450"/>
    <x v="4"/>
    <n v="12481.311865139398"/>
  </r>
  <r>
    <x v="2"/>
    <x v="0"/>
    <x v="0"/>
    <x v="17"/>
    <n v="86000"/>
    <x v="0"/>
    <s v="45.069679260253906"/>
    <s v="7.704919815063477"/>
    <n v="5450"/>
    <x v="17"/>
    <n v="6874.7262374069205"/>
  </r>
  <r>
    <x v="1"/>
    <x v="0"/>
    <x v="0"/>
    <x v="49"/>
    <n v="68833"/>
    <x v="0"/>
    <s v="44.92488098144531"/>
    <s v="7.330989837646484"/>
    <n v="5490"/>
    <x v="49"/>
    <n v="6712.2749131712535"/>
  </r>
  <r>
    <x v="1"/>
    <x v="0"/>
    <x v="0"/>
    <x v="3"/>
    <n v="38000"/>
    <x v="1"/>
    <s v="45.58409118652344"/>
    <s v="9.270959854125977"/>
    <n v="5490"/>
    <x v="3"/>
    <n v="3505.1806924437706"/>
  </r>
  <r>
    <x v="0"/>
    <x v="0"/>
    <x v="0"/>
    <x v="26"/>
    <n v="83000"/>
    <x v="0"/>
    <s v="45.8306884765625"/>
    <s v="12.033340454101562"/>
    <n v="5490"/>
    <x v="26"/>
    <n v="7539.8208063713291"/>
  </r>
  <r>
    <x v="1"/>
    <x v="0"/>
    <x v="0"/>
    <x v="23"/>
    <n v="140100"/>
    <x v="1"/>
    <s v="46.169368743896484"/>
    <s v="9.751649856567383"/>
    <n v="5490"/>
    <x v="23"/>
    <n v="11747.415575465197"/>
  </r>
  <r>
    <x v="2"/>
    <x v="0"/>
    <x v="0"/>
    <x v="55"/>
    <n v="105026"/>
    <x v="0"/>
    <s v="40.357948303222656"/>
    <s v="18.168010711669922"/>
    <n v="5490"/>
    <x v="55"/>
    <n v="10952.711428571429"/>
  </r>
  <r>
    <x v="0"/>
    <x v="0"/>
    <x v="0"/>
    <x v="30"/>
    <n v="135000"/>
    <x v="0"/>
    <s v="41.903221130371094"/>
    <s v="12.495650291442871"/>
    <n v="5490"/>
    <x v="30"/>
    <n v="12169.671523833045"/>
  </r>
  <r>
    <x v="1"/>
    <x v="3"/>
    <x v="0"/>
    <x v="59"/>
    <n v="79000"/>
    <x v="0"/>
    <s v="43.86867141723633"/>
    <s v="10.813209533691406"/>
    <n v="5499"/>
    <x v="59"/>
    <n v="9380.2862719583609"/>
  </r>
  <r>
    <x v="0"/>
    <x v="0"/>
    <x v="1"/>
    <x v="18"/>
    <n v="149000"/>
    <x v="0"/>
    <s v="45.783668518066406"/>
    <s v="8.967240333557129"/>
    <n v="5499"/>
    <x v="18"/>
    <n v="12856.973995271868"/>
  </r>
  <r>
    <x v="0"/>
    <x v="0"/>
    <x v="0"/>
    <x v="31"/>
    <n v="154000"/>
    <x v="1"/>
    <s v="40.54890823364258"/>
    <s v="16.22886085510254"/>
    <n v="5500"/>
    <x v="31"/>
    <n v="12651.361692550079"/>
  </r>
  <r>
    <x v="0"/>
    <x v="0"/>
    <x v="0"/>
    <x v="28"/>
    <n v="95350"/>
    <x v="1"/>
    <s v="41.903221130371094"/>
    <s v="12.495650291442871"/>
    <n v="5500"/>
    <x v="28"/>
    <n v="9004.5924967658484"/>
  </r>
  <r>
    <x v="1"/>
    <x v="1"/>
    <x v="0"/>
    <x v="30"/>
    <n v="137142"/>
    <x v="1"/>
    <s v="45.467960357666016"/>
    <s v="9.181779861450195"/>
    <n v="5500"/>
    <x v="30"/>
    <n v="12362.76364534453"/>
  </r>
  <r>
    <x v="0"/>
    <x v="0"/>
    <x v="0"/>
    <x v="9"/>
    <n v="231873"/>
    <x v="0"/>
    <s v="41.22254943847656"/>
    <s v="16.065959930419922"/>
    <n v="5500"/>
    <x v="9"/>
    <n v="20300.70640441353"/>
  </r>
  <r>
    <x v="2"/>
    <x v="0"/>
    <x v="0"/>
    <x v="60"/>
    <n v="88000"/>
    <x v="0"/>
    <s v="43.8820686340332"/>
    <s v="11.100350379943848"/>
    <n v="5500"/>
    <x v="60"/>
    <n v="12411.12828438949"/>
  </r>
  <r>
    <x v="0"/>
    <x v="0"/>
    <x v="0"/>
    <x v="47"/>
    <n v="96490"/>
    <x v="1"/>
    <s v="41.21628189086914"/>
    <s v="14.526639938354492"/>
    <n v="5500"/>
    <x v="47"/>
    <n v="9887.380685008422"/>
  </r>
  <r>
    <x v="1"/>
    <x v="0"/>
    <x v="0"/>
    <x v="22"/>
    <n v="90000"/>
    <x v="1"/>
    <s v="43.92198181152344"/>
    <s v="8.103630065917969"/>
    <n v="5500"/>
    <x v="22"/>
    <n v="7342.422887796155"/>
  </r>
  <r>
    <x v="0"/>
    <x v="0"/>
    <x v="0"/>
    <x v="3"/>
    <n v="145000"/>
    <x v="0"/>
    <s v="40.013851165771484"/>
    <s v="18.158649444580078"/>
    <n v="5500"/>
    <x v="3"/>
    <n v="13375.031589588072"/>
  </r>
  <r>
    <x v="0"/>
    <x v="1"/>
    <x v="0"/>
    <x v="0"/>
    <n v="121000"/>
    <x v="0"/>
    <s v="43.06753158569336"/>
    <s v="12.551549911499023"/>
    <n v="5500"/>
    <x v="0"/>
    <n v="9609.4429939077454"/>
  </r>
  <r>
    <x v="0"/>
    <x v="0"/>
    <x v="0"/>
    <x v="38"/>
    <n v="110000"/>
    <x v="0"/>
    <s v="45.596500396728516"/>
    <s v="10.108750343322754"/>
    <n v="5500"/>
    <x v="38"/>
    <n v="10898.479913137893"/>
  </r>
  <r>
    <x v="0"/>
    <x v="0"/>
    <x v="0"/>
    <x v="42"/>
    <n v="99556"/>
    <x v="1"/>
    <s v="45.5997200012207"/>
    <s v="8.753620147705078"/>
    <n v="5500"/>
    <x v="42"/>
    <n v="10659.413317688472"/>
  </r>
  <r>
    <x v="0"/>
    <x v="0"/>
    <x v="0"/>
    <x v="22"/>
    <n v="55976"/>
    <x v="0"/>
    <s v="45.610050201416016"/>
    <s v="9.242340087890625"/>
    <n v="5500"/>
    <x v="22"/>
    <n v="4566.6607063030842"/>
  </r>
  <r>
    <x v="0"/>
    <x v="0"/>
    <x v="0"/>
    <x v="16"/>
    <n v="134717"/>
    <x v="1"/>
    <s v="44.102020263671875"/>
    <s v="9.82024002075195"/>
    <n v="5500"/>
    <x v="16"/>
    <n v="11707.548809523809"/>
  </r>
  <r>
    <x v="0"/>
    <x v="0"/>
    <x v="0"/>
    <x v="19"/>
    <n v="113344"/>
    <x v="1"/>
    <s v="41.00379943847656"/>
    <s v="16.872940063476562"/>
    <n v="5500"/>
    <x v="19"/>
    <n v="11922.35158501441"/>
  </r>
  <r>
    <x v="2"/>
    <x v="0"/>
    <x v="1"/>
    <x v="40"/>
    <n v="130000"/>
    <x v="1"/>
    <s v="45.81050109863281"/>
    <s v="8.964739799499512"/>
    <n v="5500"/>
    <x v="40"/>
    <n v="12782.866379310344"/>
  </r>
  <r>
    <x v="0"/>
    <x v="2"/>
    <x v="0"/>
    <x v="17"/>
    <n v="96000"/>
    <x v="1"/>
    <s v="44.325889587402344"/>
    <s v="10.837559700012207"/>
    <n v="5500"/>
    <x v="17"/>
    <n v="7674.1130091984223"/>
  </r>
  <r>
    <x v="0"/>
    <x v="2"/>
    <x v="0"/>
    <x v="17"/>
    <n v="78000"/>
    <x v="1"/>
    <s v="45.467960357666016"/>
    <s v="9.181779861450195"/>
    <n v="5800"/>
    <x v="17"/>
    <n v="6235.216819973718"/>
  </r>
  <r>
    <x v="0"/>
    <x v="0"/>
    <x v="0"/>
    <x v="55"/>
    <n v="121000"/>
    <x v="0"/>
    <s v="45.75735855102539"/>
    <s v="9.7958402633667"/>
    <n v="5850"/>
    <x v="55"/>
    <n v="12618.571428571429"/>
  </r>
  <r>
    <x v="0"/>
    <x v="0"/>
    <x v="0"/>
    <x v="46"/>
    <n v="51083"/>
    <x v="0"/>
    <s v="45.57122039794922"/>
    <s v="9.159139633178711"/>
    <n v="5880"/>
    <x v="46"/>
    <n v="5832.1223021582737"/>
  </r>
  <r>
    <x v="0"/>
    <x v="0"/>
    <x v="0"/>
    <x v="61"/>
    <n v="87000"/>
    <x v="0"/>
    <s v="45.069679260253906"/>
    <s v="7.704919815063477"/>
    <n v="5990"/>
    <x v="61"/>
    <n v="14107.06352732119"/>
  </r>
  <r>
    <x v="2"/>
    <x v="0"/>
    <x v="0"/>
    <x v="11"/>
    <n v="79000"/>
    <x v="1"/>
    <s v="41.450721740722656"/>
    <s v="12.625020027160645"/>
    <n v="6300"/>
    <x v="11"/>
    <n v="7640.4345521992582"/>
  </r>
  <r>
    <x v="0"/>
    <x v="0"/>
    <x v="0"/>
    <x v="26"/>
    <n v="101156"/>
    <x v="1"/>
    <s v="45.350799560546875"/>
    <s v="11.466090202331543"/>
    <n v="6499"/>
    <x v="26"/>
    <n v="9189.1338974614246"/>
  </r>
  <r>
    <x v="2"/>
    <x v="0"/>
    <x v="0"/>
    <x v="62"/>
    <n v="31350"/>
    <x v="1"/>
    <s v="43.78451156616211"/>
    <s v="10.924659729003906"/>
    <n v="6500"/>
    <x v="62"/>
    <n v="3916.0677618069813"/>
  </r>
  <r>
    <x v="1"/>
    <x v="0"/>
    <x v="0"/>
    <x v="60"/>
    <n v="71553"/>
    <x v="1"/>
    <s v="41.903221130371094"/>
    <s v="12.495650291442871"/>
    <n v="6700"/>
    <x v="60"/>
    <n v="10091.516615146831"/>
  </r>
  <r>
    <x v="0"/>
    <x v="0"/>
    <x v="0"/>
    <x v="63"/>
    <n v="50000"/>
    <x v="0"/>
    <s v="43.782371520996094"/>
    <s v="11.254989624023438"/>
    <n v="6900"/>
    <x v="63"/>
    <n v="6894.597657725727"/>
  </r>
  <r>
    <x v="0"/>
    <x v="2"/>
    <x v="1"/>
    <x v="50"/>
    <n v="74903"/>
    <x v="1"/>
    <s v="45.62813186645508"/>
    <s v="9.045459747314453"/>
    <n v="6900"/>
    <x v="50"/>
    <n v="7611.2458240534525"/>
  </r>
  <r>
    <x v="0"/>
    <x v="0"/>
    <x v="1"/>
    <x v="62"/>
    <n v="87000"/>
    <x v="0"/>
    <s v="45.558441162109375"/>
    <s v="12.234600067138672"/>
    <n v="6900"/>
    <x v="62"/>
    <n v="10867.556468172485"/>
  </r>
  <r>
    <x v="0"/>
    <x v="0"/>
    <x v="0"/>
    <x v="64"/>
    <n v="114000"/>
    <x v="1"/>
    <s v="45.536590576171875"/>
    <s v="10.232040405273438"/>
    <n v="7000"/>
    <x v="64"/>
    <n v="20101.44927536232"/>
  </r>
  <r>
    <x v="0"/>
    <x v="0"/>
    <x v="0"/>
    <x v="65"/>
    <n v="61197"/>
    <x v="0"/>
    <s v="41.903221130371094"/>
    <s v="12.495650291442871"/>
    <n v="7100"/>
    <x v="65"/>
    <n v="20380.387773722628"/>
  </r>
  <r>
    <x v="0"/>
    <x v="0"/>
    <x v="0"/>
    <x v="65"/>
    <n v="62214"/>
    <x v="0"/>
    <s v="41.903221130371094"/>
    <s v="12.495650291442871"/>
    <n v="7100"/>
    <x v="65"/>
    <n v="20719.078467153286"/>
  </r>
  <r>
    <x v="0"/>
    <x v="0"/>
    <x v="0"/>
    <x v="15"/>
    <n v="48000"/>
    <x v="1"/>
    <s v="45.49802017211914"/>
    <s v="9.673330307006836"/>
    <n v="7200"/>
    <x v="15"/>
    <n v="6933.1222793826673"/>
  </r>
  <r>
    <x v="0"/>
    <x v="0"/>
    <x v="0"/>
    <x v="61"/>
    <n v="73453"/>
    <x v="2"/>
    <s v="45.06312942504883"/>
    <s v="7.5767998695373535"/>
    <n v="7300"/>
    <x v="61"/>
    <n v="11910.415370946246"/>
  </r>
  <r>
    <x v="0"/>
    <x v="0"/>
    <x v="0"/>
    <x v="66"/>
    <n v="59961"/>
    <x v="0"/>
    <s v="41.903221130371094"/>
    <s v="12.495650291442871"/>
    <n v="7480"/>
    <x v="66"/>
    <n v="20530.736397748591"/>
  </r>
  <r>
    <x v="0"/>
    <x v="0"/>
    <x v="0"/>
    <x v="66"/>
    <n v="59961"/>
    <x v="0"/>
    <s v="45.57122039794922"/>
    <s v="9.159139633178711"/>
    <n v="7480"/>
    <x v="66"/>
    <n v="20530.736397748591"/>
  </r>
  <r>
    <x v="1"/>
    <x v="0"/>
    <x v="0"/>
    <x v="67"/>
    <n v="77149"/>
    <x v="3"/>
    <s v="44.75489044189453"/>
    <s v="8.031900405883789"/>
    <n v="7800"/>
    <x v="67"/>
    <n v="10280.899963490325"/>
  </r>
  <r>
    <x v="0"/>
    <x v="0"/>
    <x v="0"/>
    <x v="65"/>
    <n v="57000"/>
    <x v="0"/>
    <s v="45.467960357666016"/>
    <s v="9.181779861450195"/>
    <n v="7900"/>
    <x v="65"/>
    <n v="18982.664233576641"/>
  </r>
  <r>
    <x v="0"/>
    <x v="0"/>
    <x v="0"/>
    <x v="68"/>
    <n v="16000"/>
    <x v="1"/>
    <s v="40.84014129638672"/>
    <s v="14.252260208129883"/>
    <n v="7990"/>
    <x v="68"/>
    <n v="7664.0419947506562"/>
  </r>
  <r>
    <x v="2"/>
    <x v="0"/>
    <x v="0"/>
    <x v="65"/>
    <n v="27200"/>
    <x v="1"/>
    <s v="44.92013931274414"/>
    <s v="7.844590187072754"/>
    <n v="7990"/>
    <x v="65"/>
    <n v="9058.3941605839409"/>
  </r>
  <r>
    <x v="0"/>
    <x v="0"/>
    <x v="0"/>
    <x v="69"/>
    <n v="55000"/>
    <x v="1"/>
    <s v="45.666358947753906"/>
    <s v="12.241889953613281"/>
    <n v="8000"/>
    <x v="69"/>
    <n v="10644.22057264051"/>
  </r>
  <r>
    <x v="0"/>
    <x v="0"/>
    <x v="0"/>
    <x v="70"/>
    <n v="54600"/>
    <x v="0"/>
    <s v="40.835811614990234"/>
    <s v="14.504409790039062"/>
    <n v="8000"/>
    <x v="70"/>
    <n v="13926.624737945493"/>
  </r>
  <r>
    <x v="0"/>
    <x v="0"/>
    <x v="0"/>
    <x v="71"/>
    <n v="28000"/>
    <x v="1"/>
    <s v="41.903221130371094"/>
    <s v="12.495650291442871"/>
    <n v="8299"/>
    <x v="71"/>
    <n v="17681.66089965398"/>
  </r>
  <r>
    <x v="0"/>
    <x v="0"/>
    <x v="0"/>
    <x v="72"/>
    <n v="25000"/>
    <x v="1"/>
    <s v="41.903221130371094"/>
    <s v="12.495650291442871"/>
    <n v="8299"/>
    <x v="72"/>
    <n v="14983.579638752053"/>
  </r>
  <r>
    <x v="0"/>
    <x v="0"/>
    <x v="0"/>
    <x v="71"/>
    <n v="19000"/>
    <x v="1"/>
    <s v="41.903221130371094"/>
    <s v="12.495650291442871"/>
    <n v="8299"/>
    <x v="71"/>
    <n v="11998.269896193771"/>
  </r>
  <r>
    <x v="2"/>
    <x v="0"/>
    <x v="0"/>
    <x v="73"/>
    <n v="37500"/>
    <x v="1"/>
    <s v="45.53200149536133"/>
    <s v="9.281530380249023"/>
    <n v="8490"/>
    <x v="73"/>
    <n v="8999.0138067061143"/>
  </r>
  <r>
    <x v="0"/>
    <x v="0"/>
    <x v="0"/>
    <x v="68"/>
    <n v="36993"/>
    <x v="0"/>
    <s v="41.903221130371094"/>
    <s v="12.495650291442871"/>
    <n v="8980"/>
    <x v="68"/>
    <n v="17719.744094488189"/>
  </r>
  <r>
    <x v="0"/>
    <x v="0"/>
    <x v="0"/>
    <x v="68"/>
    <n v="36112"/>
    <x v="0"/>
    <s v="41.8029899597168"/>
    <s v="12.598930358886719"/>
    <n v="8980"/>
    <x v="68"/>
    <n v="17297.742782152229"/>
  </r>
  <r>
    <x v="0"/>
    <x v="0"/>
    <x v="0"/>
    <x v="68"/>
    <n v="36993"/>
    <x v="0"/>
    <s v="45.57122039794922"/>
    <s v="9.159139633178711"/>
    <n v="8980"/>
    <x v="68"/>
    <n v="17719.744094488189"/>
  </r>
  <r>
    <x v="0"/>
    <x v="0"/>
    <x v="0"/>
    <x v="74"/>
    <n v="14000"/>
    <x v="1"/>
    <s v="41.903221130371094"/>
    <s v="12.495650291442871"/>
    <n v="9200"/>
    <x v="74"/>
    <n v="12023.529411764706"/>
  </r>
  <r>
    <x v="0"/>
    <x v="0"/>
    <x v="0"/>
    <x v="75"/>
    <n v="16000"/>
    <x v="1"/>
    <s v="41.903221130371094"/>
    <s v="12.495650291442871"/>
    <n v="9200"/>
    <x v="75"/>
    <n v="14710.327455919394"/>
  </r>
  <r>
    <x v="2"/>
    <x v="0"/>
    <x v="0"/>
    <x v="76"/>
    <n v="21365"/>
    <x v="0"/>
    <s v="45.61869812011719"/>
    <s v="8.947460174560547"/>
    <n v="9300"/>
    <x v="76"/>
    <n v="6919.4543034605149"/>
  </r>
  <r>
    <x v="0"/>
    <x v="0"/>
    <x v="0"/>
    <x v="77"/>
    <n v="22100"/>
    <x v="0"/>
    <s v="45.19940948486328"/>
    <s v="7.774429798126221"/>
    <n v="9390"/>
    <x v="77"/>
    <n v="12603.90625"/>
  </r>
  <r>
    <x v="2"/>
    <x v="0"/>
    <x v="0"/>
    <x v="78"/>
    <n v="12929"/>
    <x v="0"/>
    <s v="45.556549072265625"/>
    <s v="9.534469604492188"/>
    <n v="9400"/>
    <x v="78"/>
    <n v="12893.674863387976"/>
  </r>
  <r>
    <x v="0"/>
    <x v="0"/>
    <x v="0"/>
    <x v="75"/>
    <n v="16755"/>
    <x v="1"/>
    <s v="45.15171813964844"/>
    <s v="7.655439853668213"/>
    <n v="9490"/>
    <x v="75"/>
    <n v="15404.47103274559"/>
  </r>
  <r>
    <x v="0"/>
    <x v="0"/>
    <x v="0"/>
    <x v="75"/>
    <n v="16755"/>
    <x v="1"/>
    <s v="45.4656982421875"/>
    <s v="10.720359802246094"/>
    <n v="9490"/>
    <x v="75"/>
    <n v="15404.47103274559"/>
  </r>
  <r>
    <x v="0"/>
    <x v="0"/>
    <x v="0"/>
    <x v="79"/>
    <n v="13215"/>
    <x v="1"/>
    <s v="45.53266143798828"/>
    <s v="9.038920402526855"/>
    <n v="9490"/>
    <x v="79"/>
    <n v="10577.796052631578"/>
  </r>
  <r>
    <x v="0"/>
    <x v="0"/>
    <x v="0"/>
    <x v="80"/>
    <n v="27512"/>
    <x v="1"/>
    <s v="45.62984848022461"/>
    <s v="9.155119895935059"/>
    <n v="9490"/>
    <x v="80"/>
    <n v="7329.8394160583939"/>
  </r>
  <r>
    <x v="0"/>
    <x v="0"/>
    <x v="0"/>
    <x v="79"/>
    <n v="15000"/>
    <x v="1"/>
    <s v="40.92258834838867"/>
    <s v="14.228730201721191"/>
    <n v="9499"/>
    <x v="79"/>
    <n v="12006.578947368422"/>
  </r>
  <r>
    <x v="0"/>
    <x v="0"/>
    <x v="0"/>
    <x v="79"/>
    <n v="15000"/>
    <x v="1"/>
    <s v="40.84014129638672"/>
    <s v="14.252260208129883"/>
    <n v="9499"/>
    <x v="79"/>
    <n v="12006.578947368422"/>
  </r>
  <r>
    <x v="0"/>
    <x v="0"/>
    <x v="0"/>
    <x v="79"/>
    <n v="11998"/>
    <x v="1"/>
    <s v="45.4656982421875"/>
    <s v="10.720359802246094"/>
    <n v="9590"/>
    <x v="79"/>
    <n v="9603.6622807017538"/>
  </r>
  <r>
    <x v="0"/>
    <x v="0"/>
    <x v="0"/>
    <x v="79"/>
    <n v="11998"/>
    <x v="1"/>
    <s v="44.55339050292969"/>
    <s v="11.447990417480469"/>
    <n v="9590"/>
    <x v="79"/>
    <n v="9603.6622807017538"/>
  </r>
  <r>
    <x v="0"/>
    <x v="0"/>
    <x v="0"/>
    <x v="79"/>
    <n v="11998"/>
    <x v="1"/>
    <s v="45.15171813964844"/>
    <s v="7.655439853668213"/>
    <n v="9590"/>
    <x v="79"/>
    <n v="9603.6622807017538"/>
  </r>
  <r>
    <x v="0"/>
    <x v="0"/>
    <x v="0"/>
    <x v="81"/>
    <n v="39528"/>
    <x v="0"/>
    <s v="41.903221130371094"/>
    <s v="12.495650291442871"/>
    <n v="9600"/>
    <x v="81"/>
    <n v="18262.936708860758"/>
  </r>
  <r>
    <x v="0"/>
    <x v="0"/>
    <x v="0"/>
    <x v="82"/>
    <n v="29826"/>
    <x v="0"/>
    <s v="45.57122039794922"/>
    <s v="9.159139633178711"/>
    <n v="9680"/>
    <x v="82"/>
    <n v="59489.016393442616"/>
  </r>
  <r>
    <x v="0"/>
    <x v="0"/>
    <x v="0"/>
    <x v="75"/>
    <n v="12917"/>
    <x v="1"/>
    <s v="45.53266143798828"/>
    <s v="9.038920402526855"/>
    <n v="9690"/>
    <x v="75"/>
    <n v="11875.831234256926"/>
  </r>
  <r>
    <x v="0"/>
    <x v="0"/>
    <x v="0"/>
    <x v="79"/>
    <n v="20941"/>
    <x v="1"/>
    <s v="41.903221130371094"/>
    <s v="12.495650291442871"/>
    <n v="9700"/>
    <x v="79"/>
    <n v="16761.984649122809"/>
  </r>
  <r>
    <x v="0"/>
    <x v="0"/>
    <x v="0"/>
    <x v="79"/>
    <n v="20941"/>
    <x v="1"/>
    <s v="45.15171813964844"/>
    <s v="7.655439853668213"/>
    <n v="9700"/>
    <x v="79"/>
    <n v="16761.984649122809"/>
  </r>
  <r>
    <x v="0"/>
    <x v="0"/>
    <x v="0"/>
    <x v="79"/>
    <n v="20941"/>
    <x v="1"/>
    <s v="45.4656982421875"/>
    <s v="10.720359802246094"/>
    <n v="9700"/>
    <x v="79"/>
    <n v="16761.984649122809"/>
  </r>
  <r>
    <x v="1"/>
    <x v="0"/>
    <x v="0"/>
    <x v="83"/>
    <n v="39162"/>
    <x v="0"/>
    <s v="45.57122039794922"/>
    <s v="9.159139633178711"/>
    <n v="9780"/>
    <x v="83"/>
    <n v="20391.055634807417"/>
  </r>
  <r>
    <x v="0"/>
    <x v="0"/>
    <x v="0"/>
    <x v="81"/>
    <n v="19133"/>
    <x v="1"/>
    <s v="45.74602127075195"/>
    <s v="9.049969673156738"/>
    <n v="9850"/>
    <x v="81"/>
    <n v="8839.9303797468347"/>
  </r>
  <r>
    <x v="0"/>
    <x v="0"/>
    <x v="0"/>
    <x v="79"/>
    <n v="11511"/>
    <x v="0"/>
    <s v="45.436100006103516"/>
    <s v="8.887869834899902"/>
    <n v="9890"/>
    <x v="79"/>
    <n v="9213.8486842105267"/>
  </r>
  <r>
    <x v="0"/>
    <x v="0"/>
    <x v="0"/>
    <x v="79"/>
    <n v="15344"/>
    <x v="0"/>
    <s v="45.436100006103516"/>
    <s v="8.887869834899902"/>
    <n v="9890"/>
    <x v="79"/>
    <n v="12281.929824561405"/>
  </r>
  <r>
    <x v="0"/>
    <x v="0"/>
    <x v="0"/>
    <x v="79"/>
    <n v="17253"/>
    <x v="0"/>
    <s v="45.436100006103516"/>
    <s v="8.887869834899902"/>
    <n v="9890"/>
    <x v="79"/>
    <n v="13809.967105263158"/>
  </r>
  <r>
    <x v="0"/>
    <x v="0"/>
    <x v="0"/>
    <x v="52"/>
    <n v="22609"/>
    <x v="1"/>
    <s v="45.695831298828125"/>
    <s v="9.180390357971191"/>
    <n v="9900"/>
    <x v="52"/>
    <n v="15058.914233576641"/>
  </r>
  <r>
    <x v="0"/>
    <x v="0"/>
    <x v="0"/>
    <x v="77"/>
    <n v="18000"/>
    <x v="1"/>
    <s v="41.903221130371094"/>
    <s v="12.495650291442871"/>
    <n v="9900"/>
    <x v="77"/>
    <n v="10265.625"/>
  </r>
  <r>
    <x v="0"/>
    <x v="0"/>
    <x v="0"/>
    <x v="84"/>
    <n v="14000"/>
    <x v="0"/>
    <s v="45.697208404541016"/>
    <s v="9.845970153808594"/>
    <n v="9900"/>
    <x v="84"/>
    <n v="20942.62295081967"/>
  </r>
  <r>
    <x v="0"/>
    <x v="0"/>
    <x v="0"/>
    <x v="68"/>
    <n v="22020"/>
    <x v="0"/>
    <s v="46.07004928588867"/>
    <s v="11.11925983428955"/>
    <n v="9900"/>
    <x v="68"/>
    <n v="10547.63779527559"/>
  </r>
  <r>
    <x v="0"/>
    <x v="0"/>
    <x v="0"/>
    <x v="75"/>
    <n v="9700"/>
    <x v="1"/>
    <s v="45.35152816772461"/>
    <s v="10.844090461730957"/>
    <n v="9950"/>
    <x v="75"/>
    <n v="8918.1360201511325"/>
  </r>
  <r>
    <x v="0"/>
    <x v="0"/>
    <x v="0"/>
    <x v="83"/>
    <n v="17324"/>
    <x v="0"/>
    <s v="45.556549072265625"/>
    <s v="9.534469604492188"/>
    <n v="9950"/>
    <x v="83"/>
    <n v="9020.342368045649"/>
  </r>
  <r>
    <x v="2"/>
    <x v="0"/>
    <x v="0"/>
    <x v="85"/>
    <n v="56779"/>
    <x v="0"/>
    <s v="44.402618408203125"/>
    <s v="11.249279975891113"/>
    <n v="9950"/>
    <x v="85"/>
    <n v="136344.30921052632"/>
  </r>
  <r>
    <x v="2"/>
    <x v="0"/>
    <x v="0"/>
    <x v="85"/>
    <n v="56779"/>
    <x v="0"/>
    <s v="44.15834045410156"/>
    <s v="10.975560188293457"/>
    <n v="9950"/>
    <x v="85"/>
    <n v="136344.30921052632"/>
  </r>
  <r>
    <x v="0"/>
    <x v="0"/>
    <x v="0"/>
    <x v="75"/>
    <n v="16100"/>
    <x v="1"/>
    <s v="41.903221130371094"/>
    <s v="12.495650291442871"/>
    <n v="9970"/>
    <x v="75"/>
    <n v="14802.267002518891"/>
  </r>
  <r>
    <x v="2"/>
    <x v="0"/>
    <x v="0"/>
    <x v="75"/>
    <n v="15000"/>
    <x v="1"/>
    <s v="41.903221130371094"/>
    <s v="12.495650291442871"/>
    <n v="9970"/>
    <x v="75"/>
    <n v="13790.931989924433"/>
  </r>
  <r>
    <x v="0"/>
    <x v="0"/>
    <x v="0"/>
    <x v="86"/>
    <n v="16111"/>
    <x v="0"/>
    <s v="45.57122039794922"/>
    <s v="9.159139633178711"/>
    <n v="9980"/>
    <x v="86"/>
    <n v="21383.69090909091"/>
  </r>
  <r>
    <x v="0"/>
    <x v="0"/>
    <x v="0"/>
    <x v="87"/>
    <n v="12000"/>
    <x v="0"/>
    <s v="45.02238845825195"/>
    <s v="7.586019992828369"/>
    <n v="9980"/>
    <x v="87"/>
    <n v="5991.7920656634742"/>
  </r>
  <r>
    <x v="0"/>
    <x v="0"/>
    <x v="0"/>
    <x v="75"/>
    <n v="18324"/>
    <x v="0"/>
    <s v="45.436100006103516"/>
    <s v="8.887869834899902"/>
    <n v="9990"/>
    <x v="75"/>
    <n v="16847.002518891688"/>
  </r>
  <r>
    <x v="1"/>
    <x v="0"/>
    <x v="0"/>
    <x v="83"/>
    <n v="56779"/>
    <x v="0"/>
    <s v="41.903221130371094"/>
    <s v="12.495650291442871"/>
    <n v="10180"/>
    <x v="83"/>
    <n v="29563.958630527817"/>
  </r>
  <r>
    <x v="0"/>
    <x v="0"/>
    <x v="0"/>
    <x v="88"/>
    <n v="56779"/>
    <x v="1"/>
    <s v="45.40943908691406"/>
    <s v="11.871709823608398"/>
    <n v="10500"/>
    <x v="88"/>
    <n v="42555.102669404521"/>
  </r>
  <r>
    <x v="0"/>
    <x v="0"/>
    <x v="0"/>
    <x v="79"/>
    <n v="18253"/>
    <x v="0"/>
    <s v="45.39360046386719"/>
    <s v="10.482239723205566"/>
    <n v="10900"/>
    <x v="79"/>
    <n v="14610.405701754386"/>
  </r>
  <r>
    <x v="0"/>
    <x v="0"/>
    <x v="0"/>
    <x v="79"/>
    <n v="21907"/>
    <x v="0"/>
    <s v="45.39360046386719"/>
    <s v="10.482239723205566"/>
    <n v="10900"/>
    <x v="79"/>
    <n v="17535.208333333332"/>
  </r>
  <r>
    <x v="2"/>
    <x v="0"/>
    <x v="0"/>
    <x v="89"/>
    <n v="56779"/>
    <x v="1"/>
    <s v="44.402618408203125"/>
    <s v="11.249279975891113"/>
    <n v="10950"/>
    <x v="89"/>
    <n v="227739.94505494504"/>
  </r>
  <r>
    <x v="3"/>
    <x v="0"/>
    <x v="0"/>
    <x v="86"/>
    <n v="7900"/>
    <x v="1"/>
    <s v="45.35152816772461"/>
    <s v="10.844090461730957"/>
    <n v="10990"/>
    <x v="86"/>
    <n v="10485.454545454546"/>
  </r>
  <r>
    <x v="2"/>
    <x v="0"/>
    <x v="0"/>
    <x v="75"/>
    <n v="8700"/>
    <x v="1"/>
    <s v="45.35152816772461"/>
    <s v="10.844090461730957"/>
    <n v="10990"/>
    <x v="75"/>
    <n v="7998.7405541561702"/>
  </r>
  <r>
    <x v="2"/>
    <x v="0"/>
    <x v="0"/>
    <x v="90"/>
    <n v="9000"/>
    <x v="0"/>
    <s v="44.988739013671875"/>
    <s v="9.010499954223633"/>
    <n v="11090"/>
    <x v="90"/>
    <n v="4902.9850746268658"/>
  </r>
  <r>
    <x v="2"/>
    <x v="0"/>
    <x v="0"/>
    <x v="77"/>
    <n v="24300"/>
    <x v="1"/>
    <s v="45.3125"/>
    <s v="10.008020401000977"/>
    <n v="11200"/>
    <x v="77"/>
    <n v="13858.59375"/>
  </r>
  <r>
    <x v="2"/>
    <x v="0"/>
    <x v="0"/>
    <x v="77"/>
    <n v="16300"/>
    <x v="1"/>
    <s v="45.3125"/>
    <s v="10.008020401000977"/>
    <n v="11600"/>
    <x v="77"/>
    <n v="9296.09375"/>
  </r>
  <r>
    <x v="0"/>
    <x v="0"/>
    <x v="1"/>
    <x v="78"/>
    <n v="12610"/>
    <x v="0"/>
    <s v="45.556549072265625"/>
    <s v="9.534469604492188"/>
    <n v="11850"/>
    <x v="78"/>
    <n v="12575.546448087431"/>
  </r>
  <r>
    <x v="0"/>
    <x v="0"/>
    <x v="0"/>
    <x v="89"/>
    <n v="56779"/>
    <x v="0"/>
    <s v="45.55812072753906"/>
    <s v="9.21360969543457"/>
    <n v="11890"/>
    <x v="89"/>
    <n v="227739.94505494504"/>
  </r>
  <r>
    <x v="0"/>
    <x v="0"/>
    <x v="1"/>
    <x v="78"/>
    <n v="10000"/>
    <x v="1"/>
    <s v="45.666358947753906"/>
    <s v="12.241889953613281"/>
    <n v="11900"/>
    <x v="78"/>
    <n v="9972.6775956284146"/>
  </r>
  <r>
    <x v="0"/>
    <x v="0"/>
    <x v="0"/>
    <x v="68"/>
    <n v="26000"/>
    <x v="0"/>
    <s v="41.903221130371094"/>
    <s v="12.495650291442871"/>
    <n v="11970"/>
    <x v="68"/>
    <n v="12454.068241469815"/>
  </r>
  <r>
    <x v="2"/>
    <x v="0"/>
    <x v="1"/>
    <x v="86"/>
    <n v="4981"/>
    <x v="0"/>
    <s v="40.7522087097168"/>
    <s v="14.453410148620605"/>
    <n v="12279"/>
    <x v="86"/>
    <n v="6611.1454545454544"/>
  </r>
  <r>
    <x v="1"/>
    <x v="0"/>
    <x v="0"/>
    <x v="89"/>
    <n v="56779"/>
    <x v="1"/>
    <s v="44.402618408203125"/>
    <s v="11.249279975891113"/>
    <n v="12450"/>
    <x v="89"/>
    <n v="227739.94505494504"/>
  </r>
  <r>
    <x v="1"/>
    <x v="0"/>
    <x v="0"/>
    <x v="89"/>
    <n v="56779"/>
    <x v="0"/>
    <s v="44.15834045410156"/>
    <s v="10.975560188293457"/>
    <n v="12450"/>
    <x v="89"/>
    <n v="227739.94505494504"/>
  </r>
  <r>
    <x v="0"/>
    <x v="0"/>
    <x v="1"/>
    <x v="89"/>
    <n v="56779"/>
    <x v="0"/>
    <s v="41.68928146362305"/>
    <s v="13.254940032958984"/>
    <n v="12890"/>
    <x v="89"/>
    <n v="227739.94505494504"/>
  </r>
  <r>
    <x v="2"/>
    <x v="0"/>
    <x v="0"/>
    <x v="91"/>
    <n v="47983"/>
    <x v="1"/>
    <s v="45.06312942504883"/>
    <s v="7.5767998695373535"/>
    <n v="12900"/>
    <x v="91"/>
    <n v="14390.957271980278"/>
  </r>
  <r>
    <x v="2"/>
    <x v="0"/>
    <x v="0"/>
    <x v="89"/>
    <n v="56779"/>
    <x v="1"/>
    <s v="45.58087921142578"/>
    <s v="12.369370460510254"/>
    <n v="15900"/>
    <x v="89"/>
    <n v="227739.945054945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671EF-6749-4855-A3ED-34AC6E80D80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2">
    <pivotField axis="axisRow" showAll="0">
      <items count="5">
        <item h="1" x="0"/>
        <item h="1" x="2"/>
        <item x="1"/>
        <item h="1" x="3"/>
        <item t="default"/>
      </items>
    </pivotField>
    <pivotField showAll="0"/>
    <pivotField axis="axisRow"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dataField="1" showAll="0"/>
    <pivotField showAll="0">
      <items count="5">
        <item x="1"/>
        <item x="0"/>
        <item x="3"/>
        <item x="2"/>
        <item t="default"/>
      </items>
    </pivotField>
    <pivotField showAll="0"/>
    <pivotField showAll="0"/>
    <pivotField showAll="0"/>
    <pivotField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showAll="0"/>
    <pivotField dragToRow="0" dragToCol="0" dragToPage="0" showAll="0" defaultSubtotal="0"/>
  </pivotFields>
  <rowFields count="2">
    <field x="0"/>
    <field x="2"/>
  </rowFields>
  <rowItems count="4">
    <i>
      <x v="2"/>
    </i>
    <i r="1">
      <x/>
    </i>
    <i r="1">
      <x v="1"/>
    </i>
    <i t="grand">
      <x/>
    </i>
  </rowItems>
  <colItems count="1">
    <i/>
  </colItems>
  <dataFields count="1">
    <dataField name="Sum of Kilometers" fld="4" baseField="0" baseItem="0"/>
  </dataFields>
  <chartFormats count="3">
    <chartFormat chart="0" format="1" series="1">
      <pivotArea type="data" outline="0" fieldPosition="0">
        <references count="1">
          <reference field="4294967294" count="1" selected="0">
            <x v="0"/>
          </reference>
        </references>
      </pivotArea>
    </chartFormat>
    <chartFormat chart="5" format="93" series="1">
      <pivotArea type="data" outline="0" fieldPosition="0">
        <references count="1">
          <reference field="4294967294" count="1" selected="0">
            <x v="0"/>
          </reference>
        </references>
      </pivotArea>
    </chartFormat>
    <chartFormat chart="6" format="9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394E8-6DAA-4D37-A62C-15DC6A968C0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2">
    <pivotField axis="axisRow" showAll="0">
      <items count="5">
        <item h="1" x="0"/>
        <item h="1" x="2"/>
        <item x="1"/>
        <item h="1" x="3"/>
        <item t="default"/>
      </items>
    </pivotField>
    <pivotField showAll="0"/>
    <pivotField axis="axisRow"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showAll="0"/>
    <pivotField showAll="0">
      <items count="5">
        <item x="1"/>
        <item x="0"/>
        <item x="3"/>
        <item x="2"/>
        <item t="default"/>
      </items>
    </pivotField>
    <pivotField showAll="0"/>
    <pivotField showAll="0"/>
    <pivotField showAll="0"/>
    <pivotField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dataField="1" showAll="0"/>
    <pivotField dragToRow="0" dragToCol="0" dragToPage="0" showAll="0" defaultSubtotal="0"/>
  </pivotFields>
  <rowFields count="2">
    <field x="0"/>
    <field x="2"/>
  </rowFields>
  <rowItems count="4">
    <i>
      <x v="2"/>
    </i>
    <i r="1">
      <x/>
    </i>
    <i r="1">
      <x v="1"/>
    </i>
    <i t="grand">
      <x/>
    </i>
  </rowItems>
  <colItems count="1">
    <i/>
  </colItems>
  <dataFields count="1">
    <dataField name="Average of Km per year" fld="10" subtotal="average" baseField="0" baseItem="0"/>
  </dataFields>
  <chartFormats count="2">
    <chartFormat chart="5" format="96" series="1">
      <pivotArea type="data" outline="0" fieldPosition="0">
        <references count="1">
          <reference field="4294967294" count="1" selected="0">
            <x v="0"/>
          </reference>
        </references>
      </pivotArea>
    </chartFormat>
    <chartFormat chart="8" format="9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6CBE5-0C59-411E-BA3B-D5C2A0DFC05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1" firstDataRow="2" firstDataCol="1"/>
  <pivotFields count="12">
    <pivotField axis="axisCol" showAll="0">
      <items count="5">
        <item h="1" x="0"/>
        <item h="1" x="2"/>
        <item x="1"/>
        <item h="1" x="3"/>
        <item t="default"/>
      </items>
    </pivotField>
    <pivotField showAll="0">
      <items count="5">
        <item x="0"/>
        <item x="3"/>
        <item x="2"/>
        <item x="1"/>
        <item t="default"/>
      </items>
    </pivotField>
    <pivotField axis="axisRow"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showAll="0"/>
    <pivotField showAll="0">
      <items count="5">
        <item x="1"/>
        <item x="0"/>
        <item x="3"/>
        <item x="2"/>
        <item t="default"/>
      </items>
    </pivotField>
    <pivotField showAll="0"/>
    <pivotField showAll="0"/>
    <pivotField showAll="0"/>
    <pivotField dataField="1"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showAll="0"/>
    <pivotField dragToRow="0" dragToCol="0" dragToPage="0" showAll="0" defaultSubtotal="0"/>
  </pivotFields>
  <rowFields count="1">
    <field x="2"/>
  </rowFields>
  <rowItems count="3">
    <i>
      <x/>
    </i>
    <i>
      <x v="1"/>
    </i>
    <i t="grand">
      <x/>
    </i>
  </rowItems>
  <colFields count="1">
    <field x="0"/>
  </colFields>
  <colItems count="2">
    <i>
      <x v="2"/>
    </i>
    <i t="grand">
      <x/>
    </i>
  </colItems>
  <dataFields count="1">
    <dataField name="Count of Years" fld="9" subtotal="count" baseField="2" baseItem="0"/>
  </dataFields>
  <chartFormats count="14">
    <chartFormat chart="6" format="100" series="1">
      <pivotArea type="data" outline="0" fieldPosition="0">
        <references count="1">
          <reference field="4294967294" count="1" selected="0">
            <x v="0"/>
          </reference>
        </references>
      </pivotArea>
    </chartFormat>
    <chartFormat chart="6" format="104" series="1">
      <pivotArea type="data" outline="0" fieldPosition="0">
        <references count="2">
          <reference field="4294967294" count="1" selected="0">
            <x v="0"/>
          </reference>
          <reference field="0" count="1" selected="0">
            <x v="1"/>
          </reference>
        </references>
      </pivotArea>
    </chartFormat>
    <chartFormat chart="6" format="105" series="1">
      <pivotArea type="data" outline="0" fieldPosition="0">
        <references count="2">
          <reference field="4294967294" count="1" selected="0">
            <x v="0"/>
          </reference>
          <reference field="0" count="1" selected="0">
            <x v="2"/>
          </reference>
        </references>
      </pivotArea>
    </chartFormat>
    <chartFormat chart="6" format="106" series="1">
      <pivotArea type="data" outline="0" fieldPosition="0">
        <references count="2">
          <reference field="4294967294" count="1" selected="0">
            <x v="0"/>
          </reference>
          <reference field="0" count="1" selected="0">
            <x v="3"/>
          </reference>
        </references>
      </pivotArea>
    </chartFormat>
    <chartFormat chart="7" format="107" series="1">
      <pivotArea type="data" outline="0" fieldPosition="0">
        <references count="2">
          <reference field="4294967294" count="1" selected="0">
            <x v="0"/>
          </reference>
          <reference field="0" count="1" selected="0">
            <x v="0"/>
          </reference>
        </references>
      </pivotArea>
    </chartFormat>
    <chartFormat chart="7" format="108" series="1">
      <pivotArea type="data" outline="0" fieldPosition="0">
        <references count="2">
          <reference field="4294967294" count="1" selected="0">
            <x v="0"/>
          </reference>
          <reference field="0" count="1" selected="0">
            <x v="1"/>
          </reference>
        </references>
      </pivotArea>
    </chartFormat>
    <chartFormat chart="7" format="109" series="1">
      <pivotArea type="data" outline="0" fieldPosition="0">
        <references count="2">
          <reference field="4294967294" count="1" selected="0">
            <x v="0"/>
          </reference>
          <reference field="0" count="1" selected="0">
            <x v="2"/>
          </reference>
        </references>
      </pivotArea>
    </chartFormat>
    <chartFormat chart="7" format="110" series="1">
      <pivotArea type="data" outline="0" fieldPosition="0">
        <references count="2">
          <reference field="4294967294" count="1" selected="0">
            <x v="0"/>
          </reference>
          <reference field="0" count="1" selected="0">
            <x v="3"/>
          </reference>
        </references>
      </pivotArea>
    </chartFormat>
    <chartFormat chart="10" format="119" series="1">
      <pivotArea type="data" outline="0" fieldPosition="0">
        <references count="2">
          <reference field="4294967294" count="1" selected="0">
            <x v="0"/>
          </reference>
          <reference field="0" count="1" selected="0">
            <x v="0"/>
          </reference>
        </references>
      </pivotArea>
    </chartFormat>
    <chartFormat chart="10" format="120" series="1">
      <pivotArea type="data" outline="0" fieldPosition="0">
        <references count="2">
          <reference field="4294967294" count="1" selected="0">
            <x v="0"/>
          </reference>
          <reference field="0" count="1" selected="0">
            <x v="1"/>
          </reference>
        </references>
      </pivotArea>
    </chartFormat>
    <chartFormat chart="10" format="121" series="1">
      <pivotArea type="data" outline="0" fieldPosition="0">
        <references count="2">
          <reference field="4294967294" count="1" selected="0">
            <x v="0"/>
          </reference>
          <reference field="0" count="1" selected="0">
            <x v="2"/>
          </reference>
        </references>
      </pivotArea>
    </chartFormat>
    <chartFormat chart="10" format="122" series="1">
      <pivotArea type="data" outline="0" fieldPosition="0">
        <references count="2">
          <reference field="4294967294" count="1" selected="0">
            <x v="0"/>
          </reference>
          <reference field="0" count="1" selected="0">
            <x v="3"/>
          </reference>
        </references>
      </pivotArea>
    </chartFormat>
    <chartFormat chart="10" format="123" series="1">
      <pivotArea type="data" outline="0" fieldPosition="0">
        <references count="1">
          <reference field="4294967294" count="1" selected="0">
            <x v="0"/>
          </reference>
        </references>
      </pivotArea>
    </chartFormat>
    <chartFormat chart="7" format="1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6E428-5543-4034-ABC1-C2EB0760DEB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2" firstHeaderRow="1" firstDataRow="1" firstDataCol="1"/>
  <pivotFields count="12">
    <pivotField showAll="0">
      <items count="5">
        <item h="1" x="0"/>
        <item h="1" x="2"/>
        <item x="1"/>
        <item h="1" x="3"/>
        <item t="default"/>
      </items>
    </pivotField>
    <pivotField axis="axisRow" showAll="0">
      <items count="5">
        <item x="0"/>
        <item x="3"/>
        <item x="2"/>
        <item x="1"/>
        <item t="default"/>
      </items>
    </pivotField>
    <pivotField axis="axisRow"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dataField="1" showAll="0"/>
    <pivotField showAll="0">
      <items count="5">
        <item x="1"/>
        <item x="0"/>
        <item x="3"/>
        <item x="2"/>
        <item t="default"/>
      </items>
    </pivotField>
    <pivotField showAll="0"/>
    <pivotField showAll="0"/>
    <pivotField showAll="0"/>
    <pivotField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showAll="0"/>
    <pivotField dragToRow="0" dragToCol="0" dragToPage="0" showAll="0" defaultSubtotal="0"/>
  </pivotFields>
  <rowFields count="2">
    <field x="2"/>
    <field x="1"/>
  </rowFields>
  <rowItems count="9">
    <i>
      <x/>
    </i>
    <i r="1">
      <x/>
    </i>
    <i r="1">
      <x v="3"/>
    </i>
    <i>
      <x v="1"/>
    </i>
    <i r="1">
      <x/>
    </i>
    <i r="1">
      <x v="1"/>
    </i>
    <i r="1">
      <x v="2"/>
    </i>
    <i r="1">
      <x v="3"/>
    </i>
    <i t="grand">
      <x/>
    </i>
  </rowItems>
  <colItems count="1">
    <i/>
  </colItems>
  <dataFields count="1">
    <dataField name="Average of Kilometers" fld="4" subtotal="average" baseField="2" baseItem="0" numFmtId="1"/>
  </dataFields>
  <chartFormats count="17">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3">
          <reference field="4294967294" count="1" selected="0">
            <x v="0"/>
          </reference>
          <reference field="1" count="1" selected="0">
            <x v="3"/>
          </reference>
          <reference field="2" count="1" selected="0">
            <x v="1"/>
          </reference>
        </references>
      </pivotArea>
    </chartFormat>
    <chartFormat chart="9" format="3">
      <pivotArea type="data" outline="0" fieldPosition="0">
        <references count="3">
          <reference field="4294967294" count="1" selected="0">
            <x v="0"/>
          </reference>
          <reference field="1" count="1" selected="0">
            <x v="2"/>
          </reference>
          <reference field="2" count="1" selected="0">
            <x v="1"/>
          </reference>
        </references>
      </pivotArea>
    </chartFormat>
    <chartFormat chart="9" format="4">
      <pivotArea type="data" outline="0" fieldPosition="0">
        <references count="3">
          <reference field="4294967294" count="1" selected="0">
            <x v="0"/>
          </reference>
          <reference field="1" count="1" selected="0">
            <x v="1"/>
          </reference>
          <reference field="2" count="1" selected="0">
            <x v="1"/>
          </reference>
        </references>
      </pivotArea>
    </chartFormat>
    <chartFormat chart="9" format="5">
      <pivotArea type="data" outline="0" fieldPosition="0">
        <references count="3">
          <reference field="4294967294" count="1" selected="0">
            <x v="0"/>
          </reference>
          <reference field="1" count="1" selected="0">
            <x v="0"/>
          </reference>
          <reference field="2" count="1" selected="0">
            <x v="1"/>
          </reference>
        </references>
      </pivotArea>
    </chartFormat>
    <chartFormat chart="9" format="6">
      <pivotArea type="data" outline="0" fieldPosition="0">
        <references count="3">
          <reference field="4294967294" count="1" selected="0">
            <x v="0"/>
          </reference>
          <reference field="1" count="1" selected="0">
            <x v="3"/>
          </reference>
          <reference field="2" count="1" selected="0">
            <x v="0"/>
          </reference>
        </references>
      </pivotArea>
    </chartFormat>
    <chartFormat chart="9" format="7">
      <pivotArea type="data" outline="0" fieldPosition="0">
        <references count="3">
          <reference field="4294967294" count="1" selected="0">
            <x v="0"/>
          </reference>
          <reference field="1" count="1" selected="0">
            <x v="2"/>
          </reference>
          <reference field="2" count="1" selected="0">
            <x v="0"/>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3">
          <reference field="4294967294" count="1" selected="0">
            <x v="0"/>
          </reference>
          <reference field="1" count="1" selected="0">
            <x v="0"/>
          </reference>
          <reference field="2" count="1" selected="0">
            <x v="0"/>
          </reference>
        </references>
      </pivotArea>
    </chartFormat>
    <chartFormat chart="17" format="18">
      <pivotArea type="data" outline="0" fieldPosition="0">
        <references count="3">
          <reference field="4294967294" count="1" selected="0">
            <x v="0"/>
          </reference>
          <reference field="1" count="1" selected="0">
            <x v="2"/>
          </reference>
          <reference field="2" count="1" selected="0">
            <x v="0"/>
          </reference>
        </references>
      </pivotArea>
    </chartFormat>
    <chartFormat chart="17" format="19">
      <pivotArea type="data" outline="0" fieldPosition="0">
        <references count="3">
          <reference field="4294967294" count="1" selected="0">
            <x v="0"/>
          </reference>
          <reference field="1" count="1" selected="0">
            <x v="3"/>
          </reference>
          <reference field="2" count="1" selected="0">
            <x v="0"/>
          </reference>
        </references>
      </pivotArea>
    </chartFormat>
    <chartFormat chart="17" format="20">
      <pivotArea type="data" outline="0" fieldPosition="0">
        <references count="3">
          <reference field="4294967294" count="1" selected="0">
            <x v="0"/>
          </reference>
          <reference field="1" count="1" selected="0">
            <x v="0"/>
          </reference>
          <reference field="2" count="1" selected="0">
            <x v="1"/>
          </reference>
        </references>
      </pivotArea>
    </chartFormat>
    <chartFormat chart="17" format="21">
      <pivotArea type="data" outline="0" fieldPosition="0">
        <references count="3">
          <reference field="4294967294" count="1" selected="0">
            <x v="0"/>
          </reference>
          <reference field="1" count="1" selected="0">
            <x v="1"/>
          </reference>
          <reference field="2" count="1" selected="0">
            <x v="1"/>
          </reference>
        </references>
      </pivotArea>
    </chartFormat>
    <chartFormat chart="17" format="22">
      <pivotArea type="data" outline="0" fieldPosition="0">
        <references count="3">
          <reference field="4294967294" count="1" selected="0">
            <x v="0"/>
          </reference>
          <reference field="1" count="1" selected="0">
            <x v="2"/>
          </reference>
          <reference field="2" count="1" selected="0">
            <x v="1"/>
          </reference>
        </references>
      </pivotArea>
    </chartFormat>
    <chartFormat chart="17" format="23">
      <pivotArea type="data" outline="0" fieldPosition="0">
        <references count="3">
          <reference field="4294967294" count="1" selected="0">
            <x v="0"/>
          </reference>
          <reference field="1" count="1" selected="0">
            <x v="3"/>
          </reference>
          <reference field="2" count="1" selected="0">
            <x v="1"/>
          </reference>
        </references>
      </pivotArea>
    </chartFormat>
    <chartFormat chart="9" format="8">
      <pivotArea type="data" outline="0" fieldPosition="0">
        <references count="3">
          <reference field="4294967294" count="1" selected="0">
            <x v="0"/>
          </reference>
          <reference field="1"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E2E63-6FE4-4E97-AAF3-EB8AB5971E1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2">
    <pivotField axis="axisRow" showAll="0">
      <items count="5">
        <item h="1" x="0"/>
        <item h="1" x="2"/>
        <item x="1"/>
        <item h="1" x="3"/>
        <item t="default"/>
      </items>
    </pivotField>
    <pivotField showAll="0">
      <items count="5">
        <item x="0"/>
        <item x="3"/>
        <item x="2"/>
        <item x="1"/>
        <item t="default"/>
      </items>
    </pivotField>
    <pivotField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showAll="0"/>
    <pivotField axis="axisRow" dataField="1" showAll="0">
      <items count="5">
        <item x="1"/>
        <item x="0"/>
        <item x="3"/>
        <item x="2"/>
        <item t="default"/>
      </items>
    </pivotField>
    <pivotField showAll="0"/>
    <pivotField showAll="0"/>
    <pivotField showAll="0"/>
    <pivotField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showAll="0"/>
    <pivotField dragToRow="0" dragToCol="0" dragToPage="0" showAll="0" defaultSubtotal="0"/>
  </pivotFields>
  <rowFields count="2">
    <field x="0"/>
    <field x="5"/>
  </rowFields>
  <rowItems count="6">
    <i>
      <x v="2"/>
    </i>
    <i r="1">
      <x/>
    </i>
    <i r="1">
      <x v="1"/>
    </i>
    <i r="1">
      <x v="2"/>
    </i>
    <i r="1">
      <x v="3"/>
    </i>
    <i t="grand">
      <x/>
    </i>
  </rowItems>
  <colItems count="1">
    <i/>
  </colItems>
  <dataFields count="1">
    <dataField name="Count of Previous_owners" fld="5" subtotal="count" baseField="0" baseItem="0"/>
  </dataFields>
  <chartFormats count="3">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18AED-8479-478A-9DD0-7F0C3118982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5" firstHeaderRow="0" firstDataRow="1" firstDataCol="1"/>
  <pivotFields count="12">
    <pivotField axis="axisRow" showAll="0">
      <items count="5">
        <item h="1" x="0"/>
        <item h="1" x="2"/>
        <item x="1"/>
        <item h="1" x="3"/>
        <item t="default"/>
      </items>
    </pivotField>
    <pivotField showAll="0">
      <items count="5">
        <item x="0"/>
        <item x="3"/>
        <item x="2"/>
        <item x="1"/>
        <item t="default"/>
      </items>
    </pivotField>
    <pivotField showAll="0">
      <items count="3">
        <item x="1"/>
        <item x="0"/>
        <item t="default"/>
      </items>
    </pivotField>
    <pivotField showAll="0">
      <items count="93">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 t="default"/>
      </items>
    </pivotField>
    <pivotField showAll="0"/>
    <pivotField showAll="0">
      <items count="5">
        <item x="1"/>
        <item x="0"/>
        <item x="3"/>
        <item x="2"/>
        <item t="default"/>
      </items>
    </pivotField>
    <pivotField showAll="0"/>
    <pivotField showAll="0"/>
    <pivotField dataField="1" showAll="0"/>
    <pivotField numFmtId="164" showAll="0" defaultSubtotal="0">
      <items count="92">
        <item x="89"/>
        <item x="85"/>
        <item x="82"/>
        <item x="84"/>
        <item x="86"/>
        <item x="78"/>
        <item x="75"/>
        <item x="74"/>
        <item x="79"/>
        <item x="88"/>
        <item x="52"/>
        <item x="71"/>
        <item x="72"/>
        <item x="77"/>
        <item x="90"/>
        <item x="83"/>
        <item x="87"/>
        <item x="68"/>
        <item x="81"/>
        <item x="66"/>
        <item x="65"/>
        <item x="76"/>
        <item x="91"/>
        <item x="80"/>
        <item x="70"/>
        <item x="73"/>
        <item x="69"/>
        <item x="64"/>
        <item x="61"/>
        <item x="53"/>
        <item x="15"/>
        <item x="60"/>
        <item x="63"/>
        <item x="29"/>
        <item x="67"/>
        <item x="32"/>
        <item x="54"/>
        <item x="62"/>
        <item x="58"/>
        <item x="37"/>
        <item x="59"/>
        <item x="56"/>
        <item x="57"/>
        <item x="46"/>
        <item x="44"/>
        <item x="34"/>
        <item x="13"/>
        <item x="51"/>
        <item x="35"/>
        <item x="42"/>
        <item x="41"/>
        <item x="19"/>
        <item x="55"/>
        <item x="36"/>
        <item x="47"/>
        <item x="50"/>
        <item x="24"/>
        <item x="33"/>
        <item x="38"/>
        <item x="40"/>
        <item x="49"/>
        <item x="11"/>
        <item x="12"/>
        <item x="27"/>
        <item x="28"/>
        <item x="45"/>
        <item x="25"/>
        <item x="3"/>
        <item x="43"/>
        <item x="26"/>
        <item x="30"/>
        <item x="8"/>
        <item x="20"/>
        <item x="21"/>
        <item x="9"/>
        <item x="16"/>
        <item x="18"/>
        <item x="39"/>
        <item x="2"/>
        <item x="14"/>
        <item x="23"/>
        <item x="5"/>
        <item x="7"/>
        <item x="31"/>
        <item x="22"/>
        <item x="48"/>
        <item x="10"/>
        <item x="17"/>
        <item x="0"/>
        <item x="4"/>
        <item x="6"/>
        <item x="1"/>
      </items>
    </pivotField>
    <pivotField showAll="0"/>
    <pivotField dragToRow="0" dragToCol="0" dragToPage="0" showAll="0" defaultSubtotal="0"/>
  </pivotFields>
  <rowFields count="1">
    <field x="0"/>
  </rowFields>
  <rowItems count="2">
    <i>
      <x v="2"/>
    </i>
    <i t="grand">
      <x/>
    </i>
  </rowItems>
  <colFields count="1">
    <field x="-2"/>
  </colFields>
  <colItems count="2">
    <i>
      <x/>
    </i>
    <i i="1">
      <x v="1"/>
    </i>
  </colItems>
  <dataFields count="2">
    <dataField name="Sum of Price" fld="8" baseField="0" baseItem="0"/>
    <dataField name="Sum of Price2" fld="8" showDataAs="percentOfCol" baseField="0" baseItem="0" numFmtId="10"/>
  </dataFields>
  <chartFormats count="4">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244F4816-A660-4DDD-99D6-E1C4B143C332}" sourceName="Model">
  <pivotTables>
    <pivotTable tabId="6" name="PivotTable3"/>
    <pivotTable tabId="8" name="PivotTable3"/>
    <pivotTable tabId="2" name="PivotTable3"/>
    <pivotTable tabId="5" name="PivotTable3"/>
    <pivotTable tabId="9" name="PivotTable3"/>
    <pivotTable tabId="7" name="PivotTable3"/>
  </pivotTables>
  <data>
    <tabular pivotCacheId="2023124856">
      <items count="4">
        <i x="0"/>
        <i x="2"/>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C052B8E5-1B23-445D-B774-6D3BE509DAD0}" sourceName="Transmission">
  <pivotTables>
    <pivotTable tabId="6" name="PivotTable3"/>
    <pivotTable tabId="8" name="PivotTable3"/>
    <pivotTable tabId="2" name="PivotTable3"/>
    <pivotTable tabId="5" name="PivotTable3"/>
    <pivotTable tabId="9" name="PivotTable3"/>
    <pivotTable tabId="7" name="PivotTable3"/>
  </pivotTables>
  <data>
    <tabular pivotCacheId="20231248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7F536EBD-1B05-42E8-BB54-90B7D12DEB00}" cache="Slicer_Model" caption="Model" rowHeight="247650"/>
  <slicer name="Transmission" xr10:uid="{88304638-DF8E-434D-9CF8-A0ECC4EC6EEC}" cache="Slicer_Transmission" caption="Transmiss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A2AE-95C4-4355-9CEC-22BDCDAC1F61}">
  <dimension ref="A1:S381"/>
  <sheetViews>
    <sheetView topLeftCell="F1" workbookViewId="0">
      <selection activeCell="N1" sqref="N1"/>
    </sheetView>
  </sheetViews>
  <sheetFormatPr defaultRowHeight="14.4" x14ac:dyDescent="0.3"/>
  <cols>
    <col min="1" max="1" width="7" bestFit="1" customWidth="1"/>
    <col min="2" max="2" width="14.6640625" bestFit="1" customWidth="1"/>
    <col min="3" max="3" width="14.21875" bestFit="1" customWidth="1"/>
    <col min="4" max="4" width="13.109375" bestFit="1" customWidth="1"/>
    <col min="5" max="5" width="11.44140625" bestFit="1" customWidth="1"/>
    <col min="6" max="6" width="17.77734375" bestFit="1" customWidth="1"/>
    <col min="7" max="8" width="18.77734375" bestFit="1" customWidth="1"/>
    <col min="9" max="9" width="6" bestFit="1" customWidth="1"/>
    <col min="10" max="10" width="8.88671875" style="7"/>
    <col min="11" max="11" width="12.44140625" bestFit="1" customWidth="1"/>
    <col min="12" max="13" width="12.44140625" customWidth="1"/>
    <col min="14" max="14" width="23.44140625" customWidth="1"/>
    <col min="15" max="16" width="27.21875" customWidth="1"/>
    <col min="17" max="17" width="23.109375" customWidth="1"/>
  </cols>
  <sheetData>
    <row r="1" spans="1:19" ht="31.2" x14ac:dyDescent="0.3">
      <c r="A1" s="2" t="s">
        <v>443</v>
      </c>
      <c r="B1" s="2" t="s">
        <v>435</v>
      </c>
      <c r="C1" s="2" t="s">
        <v>436</v>
      </c>
      <c r="D1" s="2" t="s">
        <v>437</v>
      </c>
      <c r="E1" s="2" t="s">
        <v>438</v>
      </c>
      <c r="F1" s="2" t="s">
        <v>439</v>
      </c>
      <c r="G1" s="3" t="s">
        <v>440</v>
      </c>
      <c r="H1" s="3" t="s">
        <v>441</v>
      </c>
      <c r="I1" s="2" t="s">
        <v>442</v>
      </c>
      <c r="J1" s="9" t="s">
        <v>497</v>
      </c>
      <c r="K1" s="2" t="s">
        <v>498</v>
      </c>
      <c r="L1" s="2"/>
      <c r="M1" s="2"/>
      <c r="N1" s="1" t="s">
        <v>510</v>
      </c>
    </row>
    <row r="2" spans="1:19" x14ac:dyDescent="0.3">
      <c r="A2" t="s">
        <v>4</v>
      </c>
      <c r="B2">
        <v>69</v>
      </c>
      <c r="C2" t="s">
        <v>1</v>
      </c>
      <c r="D2">
        <v>4596</v>
      </c>
      <c r="E2">
        <v>259000</v>
      </c>
      <c r="F2">
        <v>2</v>
      </c>
      <c r="G2" s="5" t="s">
        <v>466</v>
      </c>
      <c r="H2" s="4" t="s">
        <v>105</v>
      </c>
      <c r="I2">
        <v>2890</v>
      </c>
      <c r="J2" s="7">
        <f>D2/365</f>
        <v>12.591780821917808</v>
      </c>
      <c r="K2">
        <f>E2/J2</f>
        <v>20568.973020017405</v>
      </c>
      <c r="N2" t="s">
        <v>500</v>
      </c>
      <c r="O2">
        <f>AVERAGEIF(I2:I381,"&lt;10000")</f>
        <v>5553.4722222222226</v>
      </c>
      <c r="Q2" t="str">
        <f>IF(C2 = "manual", "Cheaper in UK","More Expensive")</f>
        <v>Cheaper in UK</v>
      </c>
      <c r="R2" t="str">
        <f>VLOOKUP("SPORT",A2:K381,3,FALSE)</f>
        <v>automatic</v>
      </c>
    </row>
    <row r="3" spans="1:19" x14ac:dyDescent="0.3">
      <c r="A3" t="s">
        <v>10</v>
      </c>
      <c r="B3">
        <v>101</v>
      </c>
      <c r="C3" t="s">
        <v>7</v>
      </c>
      <c r="D3">
        <v>4719</v>
      </c>
      <c r="E3">
        <v>182000</v>
      </c>
      <c r="F3">
        <v>2</v>
      </c>
      <c r="G3" s="4" t="s">
        <v>106</v>
      </c>
      <c r="H3" s="4" t="s">
        <v>107</v>
      </c>
      <c r="I3">
        <v>3250</v>
      </c>
      <c r="J3" s="7">
        <f t="shared" ref="J3:J66" si="0">D3/365</f>
        <v>12.92876712328767</v>
      </c>
      <c r="K3">
        <f t="shared" ref="K3:K66" si="1">E3/J3</f>
        <v>14077.134986225896</v>
      </c>
      <c r="N3" t="s">
        <v>501</v>
      </c>
      <c r="O3">
        <f>AVERAGE(E2:E381)</f>
        <v>102196.25</v>
      </c>
      <c r="Q3" t="str">
        <f t="shared" ref="Q3:Q66" si="2">IF(C3 = "manual", "Cheaper in UK","More Expensive")</f>
        <v>More Expensive</v>
      </c>
    </row>
    <row r="4" spans="1:19" x14ac:dyDescent="0.3">
      <c r="A4" t="s">
        <v>4</v>
      </c>
      <c r="B4">
        <v>69</v>
      </c>
      <c r="C4" t="s">
        <v>7</v>
      </c>
      <c r="D4">
        <v>4292</v>
      </c>
      <c r="E4">
        <v>190000</v>
      </c>
      <c r="F4">
        <v>1</v>
      </c>
      <c r="G4" s="4" t="s">
        <v>11</v>
      </c>
      <c r="H4" s="4" t="s">
        <v>12</v>
      </c>
      <c r="I4">
        <v>3300</v>
      </c>
      <c r="J4" s="7">
        <f t="shared" si="0"/>
        <v>11.758904109589041</v>
      </c>
      <c r="K4">
        <f t="shared" si="1"/>
        <v>16157.968313140727</v>
      </c>
      <c r="N4" t="s">
        <v>500</v>
      </c>
      <c r="O4">
        <f>AVERAGEIF(D2:D381,"&gt;4500")</f>
        <v>4596.4705882352937</v>
      </c>
      <c r="Q4" t="str">
        <f t="shared" si="2"/>
        <v>More Expensive</v>
      </c>
    </row>
    <row r="5" spans="1:19" x14ac:dyDescent="0.3">
      <c r="A5" t="s">
        <v>0</v>
      </c>
      <c r="B5">
        <v>69</v>
      </c>
      <c r="C5" t="s">
        <v>1</v>
      </c>
      <c r="D5">
        <v>3957</v>
      </c>
      <c r="E5">
        <v>151000</v>
      </c>
      <c r="F5">
        <v>1</v>
      </c>
      <c r="G5" s="5" t="s">
        <v>467</v>
      </c>
      <c r="H5" s="4" t="s">
        <v>108</v>
      </c>
      <c r="I5">
        <v>3400</v>
      </c>
      <c r="J5" s="7">
        <f t="shared" si="0"/>
        <v>10.841095890410958</v>
      </c>
      <c r="K5">
        <f t="shared" si="1"/>
        <v>13928.48117260551</v>
      </c>
      <c r="N5" t="s">
        <v>499</v>
      </c>
      <c r="O5">
        <f>AVERAGEIFS(E2:E381,C2:C381,"Automatic",F2:F381,"&gt;1")</f>
        <v>101670</v>
      </c>
      <c r="Q5" t="str">
        <f t="shared" si="2"/>
        <v>Cheaper in UK</v>
      </c>
    </row>
    <row r="6" spans="1:19" x14ac:dyDescent="0.3">
      <c r="A6" t="s">
        <v>0</v>
      </c>
      <c r="B6">
        <v>69</v>
      </c>
      <c r="C6" t="s">
        <v>1</v>
      </c>
      <c r="D6">
        <v>4627</v>
      </c>
      <c r="E6">
        <v>148000</v>
      </c>
      <c r="F6">
        <v>1</v>
      </c>
      <c r="G6" s="4" t="s">
        <v>109</v>
      </c>
      <c r="H6" s="5" t="s">
        <v>446</v>
      </c>
      <c r="I6">
        <v>3500</v>
      </c>
      <c r="J6" s="7">
        <f t="shared" si="0"/>
        <v>12.676712328767124</v>
      </c>
      <c r="K6">
        <f t="shared" si="1"/>
        <v>11674.951372379512</v>
      </c>
      <c r="N6" t="s">
        <v>499</v>
      </c>
      <c r="O6">
        <f>AVERAGEIFS(I2:I381,C2:C381,"Manual",F2:F381,"&gt;=2",J2:J381,"&lt;9")</f>
        <v>8553.673913043478</v>
      </c>
      <c r="Q6" t="str">
        <f t="shared" si="2"/>
        <v>Cheaper in UK</v>
      </c>
    </row>
    <row r="7" spans="1:19" x14ac:dyDescent="0.3">
      <c r="A7" t="s">
        <v>4</v>
      </c>
      <c r="B7">
        <v>69</v>
      </c>
      <c r="C7" t="s">
        <v>1</v>
      </c>
      <c r="D7">
        <v>4383</v>
      </c>
      <c r="E7">
        <v>82000</v>
      </c>
      <c r="F7">
        <v>2</v>
      </c>
      <c r="G7" s="4" t="s">
        <v>22</v>
      </c>
      <c r="H7" s="4" t="s">
        <v>23</v>
      </c>
      <c r="I7">
        <v>3500</v>
      </c>
      <c r="J7" s="7">
        <f t="shared" si="0"/>
        <v>12.008219178082191</v>
      </c>
      <c r="K7">
        <f t="shared" si="1"/>
        <v>6828.6561715719827</v>
      </c>
      <c r="N7" t="s">
        <v>501</v>
      </c>
      <c r="O7">
        <f>AVERAGE(D2:D381)</f>
        <v>3310.2657894736844</v>
      </c>
      <c r="Q7" t="str">
        <f t="shared" si="2"/>
        <v>Cheaper in UK</v>
      </c>
    </row>
    <row r="8" spans="1:19" ht="15.6" x14ac:dyDescent="0.3">
      <c r="A8" t="s">
        <v>0</v>
      </c>
      <c r="B8">
        <v>99</v>
      </c>
      <c r="C8" t="s">
        <v>1</v>
      </c>
      <c r="D8">
        <v>4658</v>
      </c>
      <c r="E8">
        <v>165000</v>
      </c>
      <c r="F8">
        <v>2</v>
      </c>
      <c r="G8" s="4" t="s">
        <v>110</v>
      </c>
      <c r="H8" s="4" t="s">
        <v>111</v>
      </c>
      <c r="I8">
        <v>3600</v>
      </c>
      <c r="J8" s="7">
        <f t="shared" si="0"/>
        <v>12.761643835616438</v>
      </c>
      <c r="K8">
        <f t="shared" si="1"/>
        <v>12929.3688278231</v>
      </c>
      <c r="N8" t="s">
        <v>500</v>
      </c>
      <c r="O8">
        <f>AVERAGEIF(D2:D381,"&lt;2500")</f>
        <v>672.13924050632909</v>
      </c>
      <c r="Q8" t="str">
        <f t="shared" si="2"/>
        <v>Cheaper in UK</v>
      </c>
      <c r="S8" s="1"/>
    </row>
    <row r="9" spans="1:19" ht="15.6" x14ac:dyDescent="0.3">
      <c r="A9" t="s">
        <v>4</v>
      </c>
      <c r="B9">
        <v>69</v>
      </c>
      <c r="C9" t="s">
        <v>1</v>
      </c>
      <c r="D9">
        <v>4414</v>
      </c>
      <c r="E9">
        <v>149000</v>
      </c>
      <c r="F9">
        <v>1</v>
      </c>
      <c r="G9" s="4" t="s">
        <v>112</v>
      </c>
      <c r="H9" s="5" t="s">
        <v>447</v>
      </c>
      <c r="I9">
        <v>3600</v>
      </c>
      <c r="J9" s="7">
        <f t="shared" si="0"/>
        <v>12.093150684931507</v>
      </c>
      <c r="K9">
        <f t="shared" si="1"/>
        <v>12321.02401449932</v>
      </c>
      <c r="N9" t="s">
        <v>499</v>
      </c>
      <c r="O9">
        <f>AVERAGEIFS(I2:I381,F2:F381,"&gt;=2",C2:C381,"manual")</f>
        <v>5787.2427745664736</v>
      </c>
      <c r="Q9" t="str">
        <f t="shared" si="2"/>
        <v>Cheaper in UK</v>
      </c>
      <c r="S9" s="1"/>
    </row>
    <row r="10" spans="1:19" ht="15.6" x14ac:dyDescent="0.3">
      <c r="A10" t="s">
        <v>10</v>
      </c>
      <c r="B10">
        <v>69</v>
      </c>
      <c r="C10" t="s">
        <v>1</v>
      </c>
      <c r="D10">
        <v>4077</v>
      </c>
      <c r="E10">
        <v>151000</v>
      </c>
      <c r="F10">
        <v>2</v>
      </c>
      <c r="G10" s="4" t="s">
        <v>113</v>
      </c>
      <c r="H10" s="4" t="s">
        <v>114</v>
      </c>
      <c r="I10">
        <v>3650</v>
      </c>
      <c r="J10" s="7">
        <f t="shared" si="0"/>
        <v>11.169863013698631</v>
      </c>
      <c r="K10">
        <f t="shared" si="1"/>
        <v>13518.518518518518</v>
      </c>
      <c r="N10" t="s">
        <v>502</v>
      </c>
      <c r="O10" t="str">
        <f t="shared" ref="O10:O15" si="3">IF(D10&gt; 4000,"YES", "NO")</f>
        <v>YES</v>
      </c>
      <c r="Q10" t="str">
        <f t="shared" si="2"/>
        <v>Cheaper in UK</v>
      </c>
      <c r="S10" s="1"/>
    </row>
    <row r="11" spans="1:19" ht="15.6" x14ac:dyDescent="0.3">
      <c r="A11" t="s">
        <v>10</v>
      </c>
      <c r="B11">
        <v>99</v>
      </c>
      <c r="C11" t="s">
        <v>1</v>
      </c>
      <c r="D11">
        <v>4169</v>
      </c>
      <c r="E11">
        <v>106500</v>
      </c>
      <c r="F11">
        <v>1</v>
      </c>
      <c r="G11" s="5" t="s">
        <v>468</v>
      </c>
      <c r="H11" s="4" t="s">
        <v>115</v>
      </c>
      <c r="I11">
        <v>3700</v>
      </c>
      <c r="J11" s="7">
        <f t="shared" si="0"/>
        <v>11.421917808219177</v>
      </c>
      <c r="K11">
        <f t="shared" si="1"/>
        <v>9324.178460062365</v>
      </c>
      <c r="O11" t="str">
        <f t="shared" si="3"/>
        <v>YES</v>
      </c>
      <c r="Q11" t="str">
        <f t="shared" si="2"/>
        <v>Cheaper in UK</v>
      </c>
      <c r="S11" s="1"/>
    </row>
    <row r="12" spans="1:19" ht="15.6" x14ac:dyDescent="0.3">
      <c r="A12" t="s">
        <v>0</v>
      </c>
      <c r="B12">
        <v>69</v>
      </c>
      <c r="C12" t="s">
        <v>1</v>
      </c>
      <c r="D12">
        <v>4535</v>
      </c>
      <c r="E12">
        <v>125000</v>
      </c>
      <c r="F12">
        <v>2</v>
      </c>
      <c r="G12" s="4" t="s">
        <v>116</v>
      </c>
      <c r="H12" s="4" t="s">
        <v>117</v>
      </c>
      <c r="I12">
        <v>3750</v>
      </c>
      <c r="J12" s="7">
        <f t="shared" si="0"/>
        <v>12.424657534246576</v>
      </c>
      <c r="K12">
        <f t="shared" si="1"/>
        <v>10060.6394707828</v>
      </c>
      <c r="O12" t="str">
        <f t="shared" si="3"/>
        <v>YES</v>
      </c>
      <c r="Q12" t="str">
        <f t="shared" si="2"/>
        <v>Cheaper in UK</v>
      </c>
      <c r="S12" s="1"/>
    </row>
    <row r="13" spans="1:19" ht="15.6" x14ac:dyDescent="0.3">
      <c r="A13" t="s">
        <v>10</v>
      </c>
      <c r="B13">
        <v>99</v>
      </c>
      <c r="C13" t="s">
        <v>1</v>
      </c>
      <c r="D13">
        <v>4414</v>
      </c>
      <c r="E13">
        <v>190000</v>
      </c>
      <c r="F13">
        <v>1</v>
      </c>
      <c r="G13" s="4" t="s">
        <v>11</v>
      </c>
      <c r="H13" s="4" t="s">
        <v>12</v>
      </c>
      <c r="I13">
        <v>3800</v>
      </c>
      <c r="J13" s="7">
        <f t="shared" si="0"/>
        <v>12.093150684931507</v>
      </c>
      <c r="K13">
        <f t="shared" si="1"/>
        <v>15711.372904395106</v>
      </c>
      <c r="O13" t="str">
        <f t="shared" si="3"/>
        <v>YES</v>
      </c>
      <c r="Q13" t="str">
        <f t="shared" si="2"/>
        <v>Cheaper in UK</v>
      </c>
      <c r="S13" s="1"/>
    </row>
    <row r="14" spans="1:19" ht="15.6" x14ac:dyDescent="0.3">
      <c r="A14" t="s">
        <v>4</v>
      </c>
      <c r="B14">
        <v>99</v>
      </c>
      <c r="C14" t="s">
        <v>1</v>
      </c>
      <c r="D14">
        <v>4414</v>
      </c>
      <c r="E14">
        <v>115000</v>
      </c>
      <c r="F14">
        <v>2</v>
      </c>
      <c r="G14" s="5" t="s">
        <v>469</v>
      </c>
      <c r="H14" s="4" t="s">
        <v>118</v>
      </c>
      <c r="I14">
        <v>3900</v>
      </c>
      <c r="J14" s="7">
        <f t="shared" si="0"/>
        <v>12.093150684931507</v>
      </c>
      <c r="K14">
        <f t="shared" si="1"/>
        <v>9509.5151789759857</v>
      </c>
      <c r="O14" t="str">
        <f t="shared" si="3"/>
        <v>YES</v>
      </c>
      <c r="Q14" t="str">
        <f t="shared" si="2"/>
        <v>Cheaper in UK</v>
      </c>
      <c r="S14" s="1"/>
    </row>
    <row r="15" spans="1:19" ht="15.6" x14ac:dyDescent="0.3">
      <c r="A15" t="s">
        <v>0</v>
      </c>
      <c r="B15">
        <v>69</v>
      </c>
      <c r="C15" t="s">
        <v>1</v>
      </c>
      <c r="D15">
        <v>3774</v>
      </c>
      <c r="E15">
        <v>139000</v>
      </c>
      <c r="F15">
        <v>2</v>
      </c>
      <c r="G15" s="4" t="s">
        <v>5</v>
      </c>
      <c r="H15" s="4" t="s">
        <v>6</v>
      </c>
      <c r="I15">
        <v>3900</v>
      </c>
      <c r="J15" s="7">
        <f t="shared" si="0"/>
        <v>10.33972602739726</v>
      </c>
      <c r="K15">
        <f t="shared" si="1"/>
        <v>13443.296237413884</v>
      </c>
      <c r="O15" t="str">
        <f t="shared" si="3"/>
        <v>NO</v>
      </c>
      <c r="Q15" t="str">
        <f t="shared" si="2"/>
        <v>Cheaper in UK</v>
      </c>
      <c r="S15" s="1"/>
    </row>
    <row r="16" spans="1:19" ht="15.6" x14ac:dyDescent="0.3">
      <c r="A16" t="s">
        <v>0</v>
      </c>
      <c r="B16">
        <v>69</v>
      </c>
      <c r="C16" t="s">
        <v>1</v>
      </c>
      <c r="D16">
        <v>3804</v>
      </c>
      <c r="E16">
        <v>110000</v>
      </c>
      <c r="F16">
        <v>1</v>
      </c>
      <c r="G16" s="4" t="s">
        <v>119</v>
      </c>
      <c r="H16" s="4" t="s">
        <v>120</v>
      </c>
      <c r="I16">
        <v>3900</v>
      </c>
      <c r="J16" s="7">
        <f t="shared" si="0"/>
        <v>10.421917808219177</v>
      </c>
      <c r="K16">
        <f t="shared" si="1"/>
        <v>10554.679284963197</v>
      </c>
      <c r="N16" t="s">
        <v>503</v>
      </c>
      <c r="O16" t="str" cm="1">
        <f t="array" ref="O16">_xlfn.IFS(D16&gt;3000,"3K AND UP!",D16&lt;3000,"2K THEREABOUTS")</f>
        <v>3K AND UP!</v>
      </c>
      <c r="Q16" t="str">
        <f t="shared" si="2"/>
        <v>Cheaper in UK</v>
      </c>
      <c r="S16" s="1"/>
    </row>
    <row r="17" spans="1:17" x14ac:dyDescent="0.3">
      <c r="A17" t="s">
        <v>4</v>
      </c>
      <c r="B17">
        <v>69</v>
      </c>
      <c r="C17" t="s">
        <v>1</v>
      </c>
      <c r="D17">
        <v>4414</v>
      </c>
      <c r="E17">
        <v>149326</v>
      </c>
      <c r="F17">
        <v>2</v>
      </c>
      <c r="G17" s="4" t="s">
        <v>121</v>
      </c>
      <c r="H17" s="4" t="s">
        <v>122</v>
      </c>
      <c r="I17">
        <v>3900</v>
      </c>
      <c r="J17" s="7">
        <f t="shared" si="0"/>
        <v>12.093150684931507</v>
      </c>
      <c r="K17">
        <f t="shared" si="1"/>
        <v>12347.981422745808</v>
      </c>
      <c r="O17" t="str" cm="1">
        <f t="array" ref="O17">_xlfn.IFS(D17&gt;3000,"3K AND UP!",D17&lt;3000,"2K THEREABOUTS")</f>
        <v>3K AND UP!</v>
      </c>
      <c r="Q17" t="str">
        <f t="shared" si="2"/>
        <v>Cheaper in UK</v>
      </c>
    </row>
    <row r="18" spans="1:17" x14ac:dyDescent="0.3">
      <c r="A18" t="s">
        <v>10</v>
      </c>
      <c r="B18">
        <v>69</v>
      </c>
      <c r="C18" t="s">
        <v>1</v>
      </c>
      <c r="D18">
        <v>3288</v>
      </c>
      <c r="E18">
        <v>160012</v>
      </c>
      <c r="F18">
        <v>4</v>
      </c>
      <c r="G18" s="4" t="s">
        <v>123</v>
      </c>
      <c r="H18" s="5" t="s">
        <v>448</v>
      </c>
      <c r="I18">
        <v>3900</v>
      </c>
      <c r="J18" s="7">
        <f t="shared" si="0"/>
        <v>9.0082191780821912</v>
      </c>
      <c r="K18">
        <f t="shared" si="1"/>
        <v>17762.889294403893</v>
      </c>
      <c r="O18" t="str" cm="1">
        <f t="array" ref="O18">_xlfn.IFS(D18&gt;3000,"3K AND UP!",D18&lt;3000,"2K THEREABOUTS")</f>
        <v>3K AND UP!</v>
      </c>
      <c r="Q18" t="str">
        <f t="shared" si="2"/>
        <v>Cheaper in UK</v>
      </c>
    </row>
    <row r="19" spans="1:17" x14ac:dyDescent="0.3">
      <c r="A19" t="s">
        <v>0</v>
      </c>
      <c r="B19">
        <v>69</v>
      </c>
      <c r="C19" t="s">
        <v>1</v>
      </c>
      <c r="D19">
        <v>4322</v>
      </c>
      <c r="E19">
        <v>151500</v>
      </c>
      <c r="F19">
        <v>1</v>
      </c>
      <c r="G19" s="4" t="s">
        <v>124</v>
      </c>
      <c r="H19" s="4" t="s">
        <v>125</v>
      </c>
      <c r="I19">
        <v>3900</v>
      </c>
      <c r="J19" s="7">
        <f t="shared" si="0"/>
        <v>11.841095890410958</v>
      </c>
      <c r="K19">
        <f t="shared" si="1"/>
        <v>12794.423877834337</v>
      </c>
      <c r="O19" t="str" cm="1">
        <f t="array" ref="O19">_xlfn.IFS(D19&gt;3000,"3K AND UP!",D19&lt;3000,"2K THEREABOUTS")</f>
        <v>3K AND UP!</v>
      </c>
      <c r="Q19" t="str">
        <f t="shared" si="2"/>
        <v>Cheaper in UK</v>
      </c>
    </row>
    <row r="20" spans="1:17" x14ac:dyDescent="0.3">
      <c r="A20" t="s">
        <v>4</v>
      </c>
      <c r="B20">
        <v>69</v>
      </c>
      <c r="C20" t="s">
        <v>1</v>
      </c>
      <c r="D20">
        <v>3774</v>
      </c>
      <c r="E20">
        <v>124000</v>
      </c>
      <c r="F20">
        <v>2</v>
      </c>
      <c r="G20" s="5" t="s">
        <v>468</v>
      </c>
      <c r="H20" s="4" t="s">
        <v>115</v>
      </c>
      <c r="I20">
        <v>3900</v>
      </c>
      <c r="J20" s="7">
        <f t="shared" si="0"/>
        <v>10.33972602739726</v>
      </c>
      <c r="K20">
        <f t="shared" si="1"/>
        <v>11992.580816110229</v>
      </c>
      <c r="O20" t="str" cm="1">
        <f t="array" ref="O20">_xlfn.IFS(D20&gt;3000,"3K AND UP!",D20&lt;3000,"2K THEREABOUTS")</f>
        <v>3K AND UP!</v>
      </c>
      <c r="Q20" t="str">
        <f t="shared" si="2"/>
        <v>Cheaper in UK</v>
      </c>
    </row>
    <row r="21" spans="1:17" x14ac:dyDescent="0.3">
      <c r="A21" t="s">
        <v>0</v>
      </c>
      <c r="B21">
        <v>69</v>
      </c>
      <c r="C21" t="s">
        <v>7</v>
      </c>
      <c r="D21">
        <v>2527</v>
      </c>
      <c r="E21">
        <v>82000</v>
      </c>
      <c r="F21">
        <v>1</v>
      </c>
      <c r="G21" s="4" t="s">
        <v>126</v>
      </c>
      <c r="H21" s="4" t="s">
        <v>127</v>
      </c>
      <c r="I21">
        <v>3950</v>
      </c>
      <c r="J21" s="7">
        <f t="shared" si="0"/>
        <v>6.9232876712328766</v>
      </c>
      <c r="K21">
        <f t="shared" si="1"/>
        <v>11844.08389394539</v>
      </c>
      <c r="O21" t="str" cm="1">
        <f t="array" ref="O21">_xlfn.IFS(D21&gt;3000,"3K AND UP!",D21&lt;3000,"2K THEREABOUTS")</f>
        <v>2K THEREABOUTS</v>
      </c>
      <c r="Q21" t="str">
        <f t="shared" si="2"/>
        <v>More Expensive</v>
      </c>
    </row>
    <row r="22" spans="1:17" x14ac:dyDescent="0.3">
      <c r="A22" t="s">
        <v>0</v>
      </c>
      <c r="B22">
        <v>69</v>
      </c>
      <c r="C22" t="s">
        <v>1</v>
      </c>
      <c r="D22">
        <v>4383</v>
      </c>
      <c r="E22">
        <v>107600</v>
      </c>
      <c r="F22">
        <v>1</v>
      </c>
      <c r="G22" s="4" t="s">
        <v>128</v>
      </c>
      <c r="H22" s="4" t="s">
        <v>129</v>
      </c>
      <c r="I22">
        <v>3950</v>
      </c>
      <c r="J22" s="7">
        <f t="shared" si="0"/>
        <v>12.008219178082191</v>
      </c>
      <c r="K22">
        <f t="shared" si="1"/>
        <v>8960.5293178188458</v>
      </c>
      <c r="O22" t="str" cm="1">
        <f t="array" ref="O22">_xlfn.IFS(D22&gt;3000,"3K AND UP!",D22&lt;3000,"2K THEREABOUTS")</f>
        <v>3K AND UP!</v>
      </c>
      <c r="Q22" t="str">
        <f t="shared" si="2"/>
        <v>Cheaper in UK</v>
      </c>
    </row>
    <row r="23" spans="1:17" x14ac:dyDescent="0.3">
      <c r="A23" t="s">
        <v>10</v>
      </c>
      <c r="B23">
        <v>69</v>
      </c>
      <c r="C23" t="s">
        <v>1</v>
      </c>
      <c r="D23">
        <v>4200</v>
      </c>
      <c r="E23">
        <v>145900</v>
      </c>
      <c r="F23">
        <v>2</v>
      </c>
      <c r="G23" s="4" t="s">
        <v>130</v>
      </c>
      <c r="H23" s="4" t="s">
        <v>131</v>
      </c>
      <c r="I23">
        <v>3950</v>
      </c>
      <c r="J23" s="7">
        <f t="shared" si="0"/>
        <v>11.506849315068493</v>
      </c>
      <c r="K23">
        <f t="shared" si="1"/>
        <v>12679.404761904761</v>
      </c>
      <c r="N23" t="s">
        <v>504</v>
      </c>
      <c r="O23">
        <f>VLOOKUP("lounge", A2:K381, 6,FALSE)</f>
        <v>2</v>
      </c>
      <c r="Q23" t="str">
        <f t="shared" si="2"/>
        <v>Cheaper in UK</v>
      </c>
    </row>
    <row r="24" spans="1:17" x14ac:dyDescent="0.3">
      <c r="A24" t="s">
        <v>0</v>
      </c>
      <c r="B24">
        <v>69</v>
      </c>
      <c r="C24" t="s">
        <v>1</v>
      </c>
      <c r="D24">
        <v>4566</v>
      </c>
      <c r="E24">
        <v>173960</v>
      </c>
      <c r="F24">
        <v>2</v>
      </c>
      <c r="G24" s="5" t="s">
        <v>470</v>
      </c>
      <c r="H24" s="4" t="s">
        <v>132</v>
      </c>
      <c r="I24">
        <v>3990</v>
      </c>
      <c r="J24" s="7">
        <f t="shared" si="0"/>
        <v>12.509589041095891</v>
      </c>
      <c r="K24">
        <f t="shared" si="1"/>
        <v>13906.132282084975</v>
      </c>
      <c r="Q24" t="str">
        <f t="shared" si="2"/>
        <v>Cheaper in UK</v>
      </c>
    </row>
    <row r="25" spans="1:17" x14ac:dyDescent="0.3">
      <c r="A25" t="s">
        <v>4</v>
      </c>
      <c r="B25">
        <v>69</v>
      </c>
      <c r="C25" t="s">
        <v>1</v>
      </c>
      <c r="D25">
        <v>4230</v>
      </c>
      <c r="E25">
        <v>93000</v>
      </c>
      <c r="F25">
        <v>1</v>
      </c>
      <c r="G25" s="5" t="s">
        <v>471</v>
      </c>
      <c r="H25" s="4" t="s">
        <v>133</v>
      </c>
      <c r="I25">
        <v>3999</v>
      </c>
      <c r="J25" s="7">
        <f t="shared" si="0"/>
        <v>11.58904109589041</v>
      </c>
      <c r="K25">
        <f t="shared" si="1"/>
        <v>8024.8226950354619</v>
      </c>
      <c r="Q25" t="str">
        <f t="shared" si="2"/>
        <v>Cheaper in UK</v>
      </c>
    </row>
    <row r="26" spans="1:17" x14ac:dyDescent="0.3">
      <c r="A26" t="s">
        <v>4</v>
      </c>
      <c r="B26">
        <v>69</v>
      </c>
      <c r="C26" t="s">
        <v>1</v>
      </c>
      <c r="D26">
        <v>3470</v>
      </c>
      <c r="E26">
        <v>87900</v>
      </c>
      <c r="F26">
        <v>1</v>
      </c>
      <c r="G26" s="4" t="s">
        <v>134</v>
      </c>
      <c r="H26" s="4" t="s">
        <v>135</v>
      </c>
      <c r="I26">
        <v>4000</v>
      </c>
      <c r="J26" s="7">
        <f t="shared" si="0"/>
        <v>9.506849315068493</v>
      </c>
      <c r="K26">
        <f t="shared" si="1"/>
        <v>9245.9654178674355</v>
      </c>
      <c r="Q26" t="str">
        <f t="shared" si="2"/>
        <v>Cheaper in UK</v>
      </c>
    </row>
    <row r="27" spans="1:17" x14ac:dyDescent="0.3">
      <c r="A27" t="s">
        <v>0</v>
      </c>
      <c r="B27">
        <v>69</v>
      </c>
      <c r="C27" t="s">
        <v>1</v>
      </c>
      <c r="D27">
        <v>4566</v>
      </c>
      <c r="E27">
        <v>140000</v>
      </c>
      <c r="F27">
        <v>1</v>
      </c>
      <c r="G27" s="4" t="s">
        <v>136</v>
      </c>
      <c r="H27" s="5" t="s">
        <v>449</v>
      </c>
      <c r="I27">
        <v>4000</v>
      </c>
      <c r="J27" s="7">
        <f t="shared" si="0"/>
        <v>12.509589041095891</v>
      </c>
      <c r="K27">
        <f t="shared" si="1"/>
        <v>11191.414805081033</v>
      </c>
      <c r="Q27" t="str">
        <f t="shared" si="2"/>
        <v>Cheaper in UK</v>
      </c>
    </row>
    <row r="28" spans="1:17" x14ac:dyDescent="0.3">
      <c r="A28" t="s">
        <v>10</v>
      </c>
      <c r="B28">
        <v>99</v>
      </c>
      <c r="C28" t="s">
        <v>1</v>
      </c>
      <c r="D28">
        <v>4658</v>
      </c>
      <c r="E28">
        <v>123000</v>
      </c>
      <c r="F28">
        <v>2</v>
      </c>
      <c r="G28" s="5" t="s">
        <v>468</v>
      </c>
      <c r="H28" s="4" t="s">
        <v>115</v>
      </c>
      <c r="I28">
        <v>4000</v>
      </c>
      <c r="J28" s="7">
        <f t="shared" si="0"/>
        <v>12.761643835616438</v>
      </c>
      <c r="K28">
        <f t="shared" si="1"/>
        <v>9638.2567625590382</v>
      </c>
      <c r="Q28" t="str">
        <f t="shared" si="2"/>
        <v>Cheaper in UK</v>
      </c>
    </row>
    <row r="29" spans="1:17" x14ac:dyDescent="0.3">
      <c r="A29" t="s">
        <v>4</v>
      </c>
      <c r="B29">
        <v>69</v>
      </c>
      <c r="C29" t="s">
        <v>1</v>
      </c>
      <c r="D29">
        <v>3774</v>
      </c>
      <c r="E29">
        <v>85000</v>
      </c>
      <c r="F29">
        <v>2</v>
      </c>
      <c r="G29" s="5" t="s">
        <v>472</v>
      </c>
      <c r="H29" s="4" t="s">
        <v>137</v>
      </c>
      <c r="I29">
        <v>4000</v>
      </c>
      <c r="J29" s="7">
        <f t="shared" si="0"/>
        <v>10.33972602739726</v>
      </c>
      <c r="K29">
        <f t="shared" si="1"/>
        <v>8220.7207207207211</v>
      </c>
      <c r="Q29" t="str">
        <f t="shared" si="2"/>
        <v>Cheaper in UK</v>
      </c>
    </row>
    <row r="30" spans="1:17" x14ac:dyDescent="0.3">
      <c r="A30" t="s">
        <v>10</v>
      </c>
      <c r="B30">
        <v>99</v>
      </c>
      <c r="C30" t="s">
        <v>1</v>
      </c>
      <c r="D30">
        <v>4108</v>
      </c>
      <c r="E30">
        <v>129000</v>
      </c>
      <c r="F30">
        <v>2</v>
      </c>
      <c r="G30" s="4" t="s">
        <v>138</v>
      </c>
      <c r="H30" s="4" t="s">
        <v>139</v>
      </c>
      <c r="I30">
        <v>4000</v>
      </c>
      <c r="J30" s="7">
        <f t="shared" si="0"/>
        <v>11.254794520547945</v>
      </c>
      <c r="K30">
        <f t="shared" si="1"/>
        <v>11461.781888997079</v>
      </c>
      <c r="Q30" t="str">
        <f t="shared" si="2"/>
        <v>Cheaper in UK</v>
      </c>
    </row>
    <row r="31" spans="1:17" x14ac:dyDescent="0.3">
      <c r="A31" t="s">
        <v>0</v>
      </c>
      <c r="B31">
        <v>99</v>
      </c>
      <c r="C31" t="s">
        <v>1</v>
      </c>
      <c r="D31">
        <v>4383</v>
      </c>
      <c r="E31">
        <v>127000</v>
      </c>
      <c r="F31">
        <v>2</v>
      </c>
      <c r="G31" s="4" t="s">
        <v>140</v>
      </c>
      <c r="H31" s="4" t="s">
        <v>141</v>
      </c>
      <c r="I31">
        <v>4000</v>
      </c>
      <c r="J31" s="7">
        <f t="shared" si="0"/>
        <v>12.008219178082191</v>
      </c>
      <c r="K31">
        <f t="shared" si="1"/>
        <v>10576.089436459048</v>
      </c>
      <c r="Q31" t="str">
        <f t="shared" si="2"/>
        <v>Cheaper in UK</v>
      </c>
    </row>
    <row r="32" spans="1:17" x14ac:dyDescent="0.3">
      <c r="A32" t="s">
        <v>0</v>
      </c>
      <c r="B32">
        <v>69</v>
      </c>
      <c r="C32" t="s">
        <v>1</v>
      </c>
      <c r="D32">
        <v>4383</v>
      </c>
      <c r="E32">
        <v>129800</v>
      </c>
      <c r="F32">
        <v>1</v>
      </c>
      <c r="G32" s="4" t="s">
        <v>142</v>
      </c>
      <c r="H32" s="4" t="s">
        <v>143</v>
      </c>
      <c r="I32">
        <v>4090</v>
      </c>
      <c r="J32" s="7">
        <f t="shared" si="0"/>
        <v>12.008219178082191</v>
      </c>
      <c r="K32">
        <f t="shared" si="1"/>
        <v>10809.263061829797</v>
      </c>
      <c r="Q32" t="str">
        <f t="shared" si="2"/>
        <v>Cheaper in UK</v>
      </c>
    </row>
    <row r="33" spans="1:17" x14ac:dyDescent="0.3">
      <c r="A33" t="s">
        <v>0</v>
      </c>
      <c r="B33">
        <v>69</v>
      </c>
      <c r="C33" t="s">
        <v>1</v>
      </c>
      <c r="D33">
        <v>4139</v>
      </c>
      <c r="E33">
        <v>136000</v>
      </c>
      <c r="F33">
        <v>1</v>
      </c>
      <c r="G33" s="4" t="s">
        <v>144</v>
      </c>
      <c r="H33" s="4" t="s">
        <v>145</v>
      </c>
      <c r="I33">
        <v>4100</v>
      </c>
      <c r="J33" s="7">
        <f t="shared" si="0"/>
        <v>11.33972602739726</v>
      </c>
      <c r="K33">
        <f t="shared" si="1"/>
        <v>11993.235080937424</v>
      </c>
      <c r="Q33" t="str">
        <f t="shared" si="2"/>
        <v>Cheaper in UK</v>
      </c>
    </row>
    <row r="34" spans="1:17" x14ac:dyDescent="0.3">
      <c r="A34" t="s">
        <v>0</v>
      </c>
      <c r="B34">
        <v>69</v>
      </c>
      <c r="C34" t="s">
        <v>1</v>
      </c>
      <c r="D34">
        <v>4322</v>
      </c>
      <c r="E34">
        <v>126000</v>
      </c>
      <c r="F34">
        <v>2</v>
      </c>
      <c r="G34" s="4" t="s">
        <v>146</v>
      </c>
      <c r="H34" s="4" t="s">
        <v>147</v>
      </c>
      <c r="I34">
        <v>4150</v>
      </c>
      <c r="J34" s="7">
        <f t="shared" si="0"/>
        <v>11.841095890410958</v>
      </c>
      <c r="K34">
        <f t="shared" si="1"/>
        <v>10640.906987505785</v>
      </c>
      <c r="Q34" t="str">
        <f t="shared" si="2"/>
        <v>Cheaper in UK</v>
      </c>
    </row>
    <row r="35" spans="1:17" x14ac:dyDescent="0.3">
      <c r="A35" t="s">
        <v>4</v>
      </c>
      <c r="B35">
        <v>69</v>
      </c>
      <c r="C35" t="s">
        <v>1</v>
      </c>
      <c r="D35">
        <v>3470</v>
      </c>
      <c r="E35">
        <v>150000</v>
      </c>
      <c r="F35">
        <v>1</v>
      </c>
      <c r="G35" s="4" t="s">
        <v>11</v>
      </c>
      <c r="H35" s="4" t="s">
        <v>12</v>
      </c>
      <c r="I35">
        <v>4200</v>
      </c>
      <c r="J35" s="7">
        <f t="shared" si="0"/>
        <v>9.506849315068493</v>
      </c>
      <c r="K35">
        <f t="shared" si="1"/>
        <v>15778.097982708934</v>
      </c>
      <c r="Q35" t="str">
        <f t="shared" si="2"/>
        <v>Cheaper in UK</v>
      </c>
    </row>
    <row r="36" spans="1:17" x14ac:dyDescent="0.3">
      <c r="A36" t="s">
        <v>10</v>
      </c>
      <c r="B36">
        <v>99</v>
      </c>
      <c r="C36" t="s">
        <v>1</v>
      </c>
      <c r="D36">
        <v>4627</v>
      </c>
      <c r="E36">
        <v>164000</v>
      </c>
      <c r="F36">
        <v>2</v>
      </c>
      <c r="G36" s="4" t="s">
        <v>148</v>
      </c>
      <c r="H36" s="4" t="s">
        <v>149</v>
      </c>
      <c r="I36">
        <v>4200</v>
      </c>
      <c r="J36" s="7">
        <f t="shared" si="0"/>
        <v>12.676712328767124</v>
      </c>
      <c r="K36">
        <f t="shared" si="1"/>
        <v>12937.10827750162</v>
      </c>
      <c r="Q36" t="str">
        <f t="shared" si="2"/>
        <v>Cheaper in UK</v>
      </c>
    </row>
    <row r="37" spans="1:17" x14ac:dyDescent="0.3">
      <c r="A37" t="s">
        <v>4</v>
      </c>
      <c r="B37">
        <v>69</v>
      </c>
      <c r="C37" t="s">
        <v>1</v>
      </c>
      <c r="D37">
        <v>4474</v>
      </c>
      <c r="E37">
        <v>165000</v>
      </c>
      <c r="F37">
        <v>1</v>
      </c>
      <c r="G37" s="4" t="s">
        <v>150</v>
      </c>
      <c r="H37" s="4" t="s">
        <v>151</v>
      </c>
      <c r="I37">
        <v>4200</v>
      </c>
      <c r="J37" s="7">
        <f t="shared" si="0"/>
        <v>12.257534246575343</v>
      </c>
      <c r="K37">
        <f t="shared" si="1"/>
        <v>13461.108627626285</v>
      </c>
      <c r="Q37" t="str">
        <f t="shared" si="2"/>
        <v>Cheaper in UK</v>
      </c>
    </row>
    <row r="38" spans="1:17" x14ac:dyDescent="0.3">
      <c r="A38" t="s">
        <v>0</v>
      </c>
      <c r="B38">
        <v>69</v>
      </c>
      <c r="C38" t="s">
        <v>1</v>
      </c>
      <c r="D38">
        <v>4200</v>
      </c>
      <c r="E38">
        <v>145994</v>
      </c>
      <c r="F38">
        <v>1</v>
      </c>
      <c r="G38" s="5" t="s">
        <v>473</v>
      </c>
      <c r="H38" s="4" t="s">
        <v>152</v>
      </c>
      <c r="I38">
        <v>4200</v>
      </c>
      <c r="J38" s="7">
        <f t="shared" si="0"/>
        <v>11.506849315068493</v>
      </c>
      <c r="K38">
        <f t="shared" si="1"/>
        <v>12687.57380952381</v>
      </c>
      <c r="Q38" t="str">
        <f t="shared" si="2"/>
        <v>Cheaper in UK</v>
      </c>
    </row>
    <row r="39" spans="1:17" x14ac:dyDescent="0.3">
      <c r="A39" t="s">
        <v>10</v>
      </c>
      <c r="B39">
        <v>101</v>
      </c>
      <c r="C39" t="s">
        <v>1</v>
      </c>
      <c r="D39">
        <v>4658</v>
      </c>
      <c r="E39">
        <v>142228</v>
      </c>
      <c r="F39">
        <v>2</v>
      </c>
      <c r="G39" s="4" t="s">
        <v>153</v>
      </c>
      <c r="H39" s="4" t="s">
        <v>154</v>
      </c>
      <c r="I39">
        <v>4200</v>
      </c>
      <c r="J39" s="7">
        <f t="shared" si="0"/>
        <v>12.761643835616438</v>
      </c>
      <c r="K39">
        <f t="shared" si="1"/>
        <v>11144.959209961358</v>
      </c>
      <c r="Q39" t="str">
        <f t="shared" si="2"/>
        <v>Cheaper in UK</v>
      </c>
    </row>
    <row r="40" spans="1:17" x14ac:dyDescent="0.3">
      <c r="A40" t="s">
        <v>0</v>
      </c>
      <c r="B40">
        <v>69</v>
      </c>
      <c r="C40" t="s">
        <v>1</v>
      </c>
      <c r="D40">
        <v>4230</v>
      </c>
      <c r="E40">
        <v>156000</v>
      </c>
      <c r="F40">
        <v>3</v>
      </c>
      <c r="G40" s="4" t="s">
        <v>155</v>
      </c>
      <c r="H40" s="4" t="s">
        <v>156</v>
      </c>
      <c r="I40">
        <v>4250</v>
      </c>
      <c r="J40" s="7">
        <f t="shared" si="0"/>
        <v>11.58904109589041</v>
      </c>
      <c r="K40">
        <f t="shared" si="1"/>
        <v>13460.992907801419</v>
      </c>
      <c r="Q40" t="str">
        <f t="shared" si="2"/>
        <v>Cheaper in UK</v>
      </c>
    </row>
    <row r="41" spans="1:17" x14ac:dyDescent="0.3">
      <c r="A41" t="s">
        <v>10</v>
      </c>
      <c r="B41">
        <v>69</v>
      </c>
      <c r="C41" t="s">
        <v>1</v>
      </c>
      <c r="D41">
        <v>4077</v>
      </c>
      <c r="E41">
        <v>124000</v>
      </c>
      <c r="F41">
        <v>1</v>
      </c>
      <c r="G41" s="4" t="s">
        <v>157</v>
      </c>
      <c r="H41" s="4" t="s">
        <v>158</v>
      </c>
      <c r="I41">
        <v>4250</v>
      </c>
      <c r="J41" s="7">
        <f t="shared" si="0"/>
        <v>11.169863013698631</v>
      </c>
      <c r="K41">
        <f t="shared" si="1"/>
        <v>11101.29997547216</v>
      </c>
      <c r="Q41" t="str">
        <f t="shared" si="2"/>
        <v>Cheaper in UK</v>
      </c>
    </row>
    <row r="42" spans="1:17" x14ac:dyDescent="0.3">
      <c r="A42" t="s">
        <v>0</v>
      </c>
      <c r="B42">
        <v>69</v>
      </c>
      <c r="C42" t="s">
        <v>1</v>
      </c>
      <c r="D42">
        <v>4322</v>
      </c>
      <c r="E42">
        <v>145430</v>
      </c>
      <c r="F42">
        <v>1</v>
      </c>
      <c r="G42" s="4" t="s">
        <v>159</v>
      </c>
      <c r="H42" s="4" t="s">
        <v>160</v>
      </c>
      <c r="I42">
        <v>4300</v>
      </c>
      <c r="J42" s="7">
        <f t="shared" si="0"/>
        <v>11.841095890410958</v>
      </c>
      <c r="K42">
        <f t="shared" si="1"/>
        <v>12281.802406293384</v>
      </c>
      <c r="Q42" t="str">
        <f t="shared" si="2"/>
        <v>Cheaper in UK</v>
      </c>
    </row>
    <row r="43" spans="1:17" x14ac:dyDescent="0.3">
      <c r="A43" t="s">
        <v>4</v>
      </c>
      <c r="B43">
        <v>69</v>
      </c>
      <c r="C43" t="s">
        <v>1</v>
      </c>
      <c r="D43">
        <v>4230</v>
      </c>
      <c r="E43">
        <v>117000</v>
      </c>
      <c r="F43">
        <v>1</v>
      </c>
      <c r="G43" s="5" t="s">
        <v>474</v>
      </c>
      <c r="H43" s="4" t="s">
        <v>161</v>
      </c>
      <c r="I43">
        <v>4300</v>
      </c>
      <c r="J43" s="7">
        <f t="shared" si="0"/>
        <v>11.58904109589041</v>
      </c>
      <c r="K43">
        <f t="shared" si="1"/>
        <v>10095.744680851065</v>
      </c>
      <c r="Q43" t="str">
        <f t="shared" si="2"/>
        <v>Cheaper in UK</v>
      </c>
    </row>
    <row r="44" spans="1:17" x14ac:dyDescent="0.3">
      <c r="A44" t="s">
        <v>4</v>
      </c>
      <c r="B44">
        <v>69</v>
      </c>
      <c r="C44" t="s">
        <v>1</v>
      </c>
      <c r="D44">
        <v>4139</v>
      </c>
      <c r="E44">
        <v>157000</v>
      </c>
      <c r="F44">
        <v>1</v>
      </c>
      <c r="G44" s="4" t="s">
        <v>162</v>
      </c>
      <c r="H44" s="4" t="s">
        <v>163</v>
      </c>
      <c r="I44">
        <v>4300</v>
      </c>
      <c r="J44" s="7">
        <f t="shared" si="0"/>
        <v>11.33972602739726</v>
      </c>
      <c r="K44">
        <f t="shared" si="1"/>
        <v>13845.131674317468</v>
      </c>
      <c r="Q44" t="str">
        <f t="shared" si="2"/>
        <v>Cheaper in UK</v>
      </c>
    </row>
    <row r="45" spans="1:17" x14ac:dyDescent="0.3">
      <c r="A45" t="s">
        <v>0</v>
      </c>
      <c r="B45">
        <v>69</v>
      </c>
      <c r="C45" t="s">
        <v>1</v>
      </c>
      <c r="D45">
        <v>4353</v>
      </c>
      <c r="E45">
        <v>104000</v>
      </c>
      <c r="F45">
        <v>1</v>
      </c>
      <c r="G45" s="4" t="s">
        <v>164</v>
      </c>
      <c r="H45" s="4" t="s">
        <v>165</v>
      </c>
      <c r="I45">
        <v>4300</v>
      </c>
      <c r="J45" s="7">
        <f t="shared" si="0"/>
        <v>11.926027397260274</v>
      </c>
      <c r="K45">
        <f t="shared" si="1"/>
        <v>8720.4226969905812</v>
      </c>
      <c r="Q45" t="str">
        <f t="shared" si="2"/>
        <v>Cheaper in UK</v>
      </c>
    </row>
    <row r="46" spans="1:17" x14ac:dyDescent="0.3">
      <c r="A46" t="s">
        <v>0</v>
      </c>
      <c r="B46">
        <v>69</v>
      </c>
      <c r="C46" t="s">
        <v>1</v>
      </c>
      <c r="D46">
        <v>4230</v>
      </c>
      <c r="E46">
        <v>155000</v>
      </c>
      <c r="F46">
        <v>1</v>
      </c>
      <c r="G46" s="4" t="s">
        <v>11</v>
      </c>
      <c r="H46" s="4" t="s">
        <v>12</v>
      </c>
      <c r="I46">
        <v>4399</v>
      </c>
      <c r="J46" s="7">
        <f t="shared" si="0"/>
        <v>11.58904109589041</v>
      </c>
      <c r="K46">
        <f t="shared" si="1"/>
        <v>13374.70449172577</v>
      </c>
      <c r="Q46" t="str">
        <f t="shared" si="2"/>
        <v>Cheaper in UK</v>
      </c>
    </row>
    <row r="47" spans="1:17" x14ac:dyDescent="0.3">
      <c r="A47" t="s">
        <v>10</v>
      </c>
      <c r="B47">
        <v>69</v>
      </c>
      <c r="C47" t="s">
        <v>1</v>
      </c>
      <c r="D47">
        <v>4474</v>
      </c>
      <c r="E47">
        <v>92397</v>
      </c>
      <c r="F47">
        <v>1</v>
      </c>
      <c r="G47" s="4" t="s">
        <v>166</v>
      </c>
      <c r="H47" s="4" t="s">
        <v>167</v>
      </c>
      <c r="I47">
        <v>4400</v>
      </c>
      <c r="J47" s="7">
        <f t="shared" si="0"/>
        <v>12.257534246575343</v>
      </c>
      <c r="K47">
        <f t="shared" si="1"/>
        <v>7537.9760840411263</v>
      </c>
      <c r="Q47" t="str">
        <f t="shared" si="2"/>
        <v>Cheaper in UK</v>
      </c>
    </row>
    <row r="48" spans="1:17" x14ac:dyDescent="0.3">
      <c r="A48" t="s">
        <v>4</v>
      </c>
      <c r="B48">
        <v>69</v>
      </c>
      <c r="C48" t="s">
        <v>1</v>
      </c>
      <c r="D48">
        <v>4322</v>
      </c>
      <c r="E48">
        <v>110000</v>
      </c>
      <c r="F48">
        <v>1</v>
      </c>
      <c r="G48" s="4" t="s">
        <v>168</v>
      </c>
      <c r="H48" s="4" t="s">
        <v>169</v>
      </c>
      <c r="I48">
        <v>4400</v>
      </c>
      <c r="J48" s="7">
        <f t="shared" si="0"/>
        <v>11.841095890410958</v>
      </c>
      <c r="K48">
        <f t="shared" si="1"/>
        <v>9289.680703378066</v>
      </c>
      <c r="Q48" t="str">
        <f t="shared" si="2"/>
        <v>Cheaper in UK</v>
      </c>
    </row>
    <row r="49" spans="1:17" x14ac:dyDescent="0.3">
      <c r="A49" t="s">
        <v>10</v>
      </c>
      <c r="B49">
        <v>69</v>
      </c>
      <c r="C49" t="s">
        <v>1</v>
      </c>
      <c r="D49">
        <v>3623</v>
      </c>
      <c r="E49">
        <v>185000</v>
      </c>
      <c r="F49">
        <v>1</v>
      </c>
      <c r="G49" s="5" t="s">
        <v>475</v>
      </c>
      <c r="H49" s="5" t="s">
        <v>450</v>
      </c>
      <c r="I49">
        <v>4400</v>
      </c>
      <c r="J49" s="7">
        <f t="shared" si="0"/>
        <v>9.9260273972602739</v>
      </c>
      <c r="K49">
        <f t="shared" si="1"/>
        <v>18637.869169196798</v>
      </c>
      <c r="Q49" t="str">
        <f t="shared" si="2"/>
        <v>Cheaper in UK</v>
      </c>
    </row>
    <row r="50" spans="1:17" x14ac:dyDescent="0.3">
      <c r="A50" t="s">
        <v>10</v>
      </c>
      <c r="B50">
        <v>99</v>
      </c>
      <c r="C50" t="s">
        <v>1</v>
      </c>
      <c r="D50">
        <v>4322</v>
      </c>
      <c r="E50">
        <v>128000</v>
      </c>
      <c r="F50">
        <v>1</v>
      </c>
      <c r="G50" s="4" t="s">
        <v>5</v>
      </c>
      <c r="H50" s="4" t="s">
        <v>6</v>
      </c>
      <c r="I50">
        <v>4400</v>
      </c>
      <c r="J50" s="7">
        <f t="shared" si="0"/>
        <v>11.841095890410958</v>
      </c>
      <c r="K50">
        <f t="shared" si="1"/>
        <v>10809.810273021749</v>
      </c>
      <c r="Q50" t="str">
        <f t="shared" si="2"/>
        <v>Cheaper in UK</v>
      </c>
    </row>
    <row r="51" spans="1:17" x14ac:dyDescent="0.3">
      <c r="A51" t="s">
        <v>4</v>
      </c>
      <c r="B51">
        <v>69</v>
      </c>
      <c r="C51" t="s">
        <v>1</v>
      </c>
      <c r="D51">
        <v>3927</v>
      </c>
      <c r="E51">
        <v>180000</v>
      </c>
      <c r="F51">
        <v>1</v>
      </c>
      <c r="G51" s="5" t="s">
        <v>476</v>
      </c>
      <c r="H51" s="4" t="s">
        <v>170</v>
      </c>
      <c r="I51">
        <v>4400</v>
      </c>
      <c r="J51" s="7">
        <f t="shared" si="0"/>
        <v>10.758904109589041</v>
      </c>
      <c r="K51">
        <f t="shared" si="1"/>
        <v>16730.328495034377</v>
      </c>
      <c r="Q51" t="str">
        <f t="shared" si="2"/>
        <v>Cheaper in UK</v>
      </c>
    </row>
    <row r="52" spans="1:17" x14ac:dyDescent="0.3">
      <c r="A52" t="s">
        <v>10</v>
      </c>
      <c r="B52">
        <v>69</v>
      </c>
      <c r="C52" t="s">
        <v>1</v>
      </c>
      <c r="D52">
        <v>4353</v>
      </c>
      <c r="E52">
        <v>110443</v>
      </c>
      <c r="F52">
        <v>3</v>
      </c>
      <c r="G52" s="4" t="s">
        <v>43</v>
      </c>
      <c r="H52" s="4" t="s">
        <v>44</v>
      </c>
      <c r="I52">
        <v>4450</v>
      </c>
      <c r="J52" s="7">
        <f t="shared" si="0"/>
        <v>11.926027397260274</v>
      </c>
      <c r="K52">
        <f t="shared" si="1"/>
        <v>9260.6696531127964</v>
      </c>
      <c r="Q52" t="str">
        <f t="shared" si="2"/>
        <v>Cheaper in UK</v>
      </c>
    </row>
    <row r="53" spans="1:17" x14ac:dyDescent="0.3">
      <c r="A53" t="s">
        <v>4</v>
      </c>
      <c r="B53">
        <v>69</v>
      </c>
      <c r="C53" t="s">
        <v>1</v>
      </c>
      <c r="D53">
        <v>4535</v>
      </c>
      <c r="E53">
        <v>124000</v>
      </c>
      <c r="F53">
        <v>1</v>
      </c>
      <c r="G53" s="4" t="s">
        <v>5</v>
      </c>
      <c r="H53" s="4" t="s">
        <v>6</v>
      </c>
      <c r="I53">
        <v>4450</v>
      </c>
      <c r="J53" s="7">
        <f t="shared" si="0"/>
        <v>12.424657534246576</v>
      </c>
      <c r="K53">
        <f t="shared" si="1"/>
        <v>9980.154355016537</v>
      </c>
      <c r="Q53" t="str">
        <f t="shared" si="2"/>
        <v>Cheaper in UK</v>
      </c>
    </row>
    <row r="54" spans="1:17" x14ac:dyDescent="0.3">
      <c r="A54" t="s">
        <v>0</v>
      </c>
      <c r="B54">
        <v>69</v>
      </c>
      <c r="C54" t="s">
        <v>1</v>
      </c>
      <c r="D54">
        <v>4474</v>
      </c>
      <c r="E54">
        <v>56779</v>
      </c>
      <c r="F54">
        <v>2</v>
      </c>
      <c r="G54" s="4" t="s">
        <v>2</v>
      </c>
      <c r="H54" s="4" t="s">
        <v>3</v>
      </c>
      <c r="I54">
        <v>4490</v>
      </c>
      <c r="J54" s="7">
        <f t="shared" si="0"/>
        <v>12.257534246575343</v>
      </c>
      <c r="K54">
        <f t="shared" si="1"/>
        <v>4632.1714349575323</v>
      </c>
      <c r="Q54" t="str">
        <f t="shared" si="2"/>
        <v>Cheaper in UK</v>
      </c>
    </row>
    <row r="55" spans="1:17" x14ac:dyDescent="0.3">
      <c r="A55" t="s">
        <v>0</v>
      </c>
      <c r="B55">
        <v>69</v>
      </c>
      <c r="C55" t="s">
        <v>1</v>
      </c>
      <c r="D55">
        <v>4018</v>
      </c>
      <c r="E55">
        <v>115000</v>
      </c>
      <c r="F55">
        <v>1</v>
      </c>
      <c r="G55" s="4" t="s">
        <v>11</v>
      </c>
      <c r="H55" s="4" t="s">
        <v>12</v>
      </c>
      <c r="I55">
        <v>4490</v>
      </c>
      <c r="J55" s="7">
        <f t="shared" si="0"/>
        <v>11.008219178082191</v>
      </c>
      <c r="K55">
        <f t="shared" si="1"/>
        <v>10446.739671478348</v>
      </c>
      <c r="Q55" t="str">
        <f t="shared" si="2"/>
        <v>Cheaper in UK</v>
      </c>
    </row>
    <row r="56" spans="1:17" x14ac:dyDescent="0.3">
      <c r="A56" t="s">
        <v>0</v>
      </c>
      <c r="B56">
        <v>101</v>
      </c>
      <c r="C56" t="s">
        <v>1</v>
      </c>
      <c r="D56">
        <v>4414</v>
      </c>
      <c r="E56">
        <v>129000</v>
      </c>
      <c r="F56">
        <v>1</v>
      </c>
      <c r="G56" s="4" t="s">
        <v>171</v>
      </c>
      <c r="H56" s="4" t="s">
        <v>172</v>
      </c>
      <c r="I56">
        <v>4490</v>
      </c>
      <c r="J56" s="7">
        <f t="shared" si="0"/>
        <v>12.093150684931507</v>
      </c>
      <c r="K56">
        <f t="shared" si="1"/>
        <v>10667.195287720888</v>
      </c>
      <c r="Q56" t="str">
        <f t="shared" si="2"/>
        <v>Cheaper in UK</v>
      </c>
    </row>
    <row r="57" spans="1:17" x14ac:dyDescent="0.3">
      <c r="A57" t="s">
        <v>0</v>
      </c>
      <c r="B57">
        <v>69</v>
      </c>
      <c r="C57" t="s">
        <v>1</v>
      </c>
      <c r="D57">
        <v>4414</v>
      </c>
      <c r="E57">
        <v>119000</v>
      </c>
      <c r="F57">
        <v>1</v>
      </c>
      <c r="G57" s="4" t="s">
        <v>173</v>
      </c>
      <c r="H57" s="5" t="s">
        <v>451</v>
      </c>
      <c r="I57">
        <v>4490</v>
      </c>
      <c r="J57" s="7">
        <f t="shared" si="0"/>
        <v>12.093150684931507</v>
      </c>
      <c r="K57">
        <f t="shared" si="1"/>
        <v>9840.2809243316715</v>
      </c>
      <c r="Q57" t="str">
        <f t="shared" si="2"/>
        <v>Cheaper in UK</v>
      </c>
    </row>
    <row r="58" spans="1:17" x14ac:dyDescent="0.3">
      <c r="A58" t="s">
        <v>0</v>
      </c>
      <c r="B58">
        <v>69</v>
      </c>
      <c r="C58" t="s">
        <v>1</v>
      </c>
      <c r="D58">
        <v>4230</v>
      </c>
      <c r="E58">
        <v>88000</v>
      </c>
      <c r="F58">
        <v>1</v>
      </c>
      <c r="G58" s="4" t="s">
        <v>174</v>
      </c>
      <c r="H58" s="4" t="s">
        <v>175</v>
      </c>
      <c r="I58">
        <v>4490</v>
      </c>
      <c r="J58" s="7">
        <f t="shared" si="0"/>
        <v>11.58904109589041</v>
      </c>
      <c r="K58">
        <f t="shared" si="1"/>
        <v>7593.3806146572106</v>
      </c>
      <c r="Q58" t="str">
        <f t="shared" si="2"/>
        <v>Cheaper in UK</v>
      </c>
    </row>
    <row r="59" spans="1:17" x14ac:dyDescent="0.3">
      <c r="A59" t="s">
        <v>10</v>
      </c>
      <c r="B59">
        <v>69</v>
      </c>
      <c r="C59" t="s">
        <v>1</v>
      </c>
      <c r="D59">
        <v>3835</v>
      </c>
      <c r="E59">
        <v>129892</v>
      </c>
      <c r="F59">
        <v>2</v>
      </c>
      <c r="G59" s="4" t="s">
        <v>5</v>
      </c>
      <c r="H59" s="4" t="s">
        <v>6</v>
      </c>
      <c r="I59">
        <v>4490</v>
      </c>
      <c r="J59" s="7">
        <f t="shared" si="0"/>
        <v>10.506849315068493</v>
      </c>
      <c r="K59">
        <f t="shared" si="1"/>
        <v>12362.602346805737</v>
      </c>
      <c r="Q59" t="str">
        <f t="shared" si="2"/>
        <v>Cheaper in UK</v>
      </c>
    </row>
    <row r="60" spans="1:17" x14ac:dyDescent="0.3">
      <c r="A60" t="s">
        <v>4</v>
      </c>
      <c r="B60">
        <v>101</v>
      </c>
      <c r="C60" t="s">
        <v>1</v>
      </c>
      <c r="D60">
        <v>4658</v>
      </c>
      <c r="E60">
        <v>135000</v>
      </c>
      <c r="F60">
        <v>2</v>
      </c>
      <c r="G60" s="4" t="s">
        <v>53</v>
      </c>
      <c r="H60" s="4" t="s">
        <v>54</v>
      </c>
      <c r="I60">
        <v>4490</v>
      </c>
      <c r="J60" s="7">
        <f t="shared" si="0"/>
        <v>12.761643835616438</v>
      </c>
      <c r="K60">
        <f t="shared" si="1"/>
        <v>10578.574495491628</v>
      </c>
      <c r="Q60" t="str">
        <f t="shared" si="2"/>
        <v>Cheaper in UK</v>
      </c>
    </row>
    <row r="61" spans="1:17" x14ac:dyDescent="0.3">
      <c r="A61" t="s">
        <v>0</v>
      </c>
      <c r="B61">
        <v>69</v>
      </c>
      <c r="C61" t="s">
        <v>1</v>
      </c>
      <c r="D61">
        <v>4474</v>
      </c>
      <c r="E61">
        <v>138000</v>
      </c>
      <c r="F61">
        <v>2</v>
      </c>
      <c r="G61" s="4" t="s">
        <v>176</v>
      </c>
      <c r="H61" s="4" t="s">
        <v>177</v>
      </c>
      <c r="I61">
        <v>4490</v>
      </c>
      <c r="J61" s="7">
        <f t="shared" si="0"/>
        <v>12.257534246575343</v>
      </c>
      <c r="K61">
        <f t="shared" si="1"/>
        <v>11258.381761287437</v>
      </c>
      <c r="Q61" t="str">
        <f t="shared" si="2"/>
        <v>Cheaper in UK</v>
      </c>
    </row>
    <row r="62" spans="1:17" x14ac:dyDescent="0.3">
      <c r="A62" t="s">
        <v>4</v>
      </c>
      <c r="B62">
        <v>69</v>
      </c>
      <c r="C62" t="s">
        <v>1</v>
      </c>
      <c r="D62">
        <v>3804</v>
      </c>
      <c r="E62">
        <v>149900</v>
      </c>
      <c r="F62">
        <v>2</v>
      </c>
      <c r="G62" s="4" t="s">
        <v>178</v>
      </c>
      <c r="H62" s="4" t="s">
        <v>179</v>
      </c>
      <c r="I62">
        <v>4490</v>
      </c>
      <c r="J62" s="7">
        <f t="shared" si="0"/>
        <v>10.421917808219177</v>
      </c>
      <c r="K62">
        <f t="shared" si="1"/>
        <v>14383.14931650894</v>
      </c>
      <c r="Q62" t="str">
        <f t="shared" si="2"/>
        <v>Cheaper in UK</v>
      </c>
    </row>
    <row r="63" spans="1:17" x14ac:dyDescent="0.3">
      <c r="A63" t="s">
        <v>4</v>
      </c>
      <c r="B63">
        <v>69</v>
      </c>
      <c r="C63" t="s">
        <v>1</v>
      </c>
      <c r="D63">
        <v>3865</v>
      </c>
      <c r="E63">
        <v>155000</v>
      </c>
      <c r="F63">
        <v>2</v>
      </c>
      <c r="G63" s="4" t="s">
        <v>180</v>
      </c>
      <c r="H63" s="4" t="s">
        <v>181</v>
      </c>
      <c r="I63">
        <v>4499</v>
      </c>
      <c r="J63" s="7">
        <f t="shared" si="0"/>
        <v>10.58904109589041</v>
      </c>
      <c r="K63">
        <f t="shared" si="1"/>
        <v>14637.774902975421</v>
      </c>
      <c r="Q63" t="str">
        <f t="shared" si="2"/>
        <v>Cheaper in UK</v>
      </c>
    </row>
    <row r="64" spans="1:17" x14ac:dyDescent="0.3">
      <c r="A64" t="s">
        <v>4</v>
      </c>
      <c r="B64">
        <v>69</v>
      </c>
      <c r="C64" t="s">
        <v>1</v>
      </c>
      <c r="D64">
        <v>2708</v>
      </c>
      <c r="E64">
        <v>160000</v>
      </c>
      <c r="F64">
        <v>1</v>
      </c>
      <c r="G64" s="4" t="s">
        <v>5</v>
      </c>
      <c r="H64" s="4" t="s">
        <v>6</v>
      </c>
      <c r="I64">
        <v>4500</v>
      </c>
      <c r="J64" s="7">
        <f t="shared" si="0"/>
        <v>7.419178082191781</v>
      </c>
      <c r="K64">
        <f t="shared" si="1"/>
        <v>21565.73116691285</v>
      </c>
      <c r="Q64" t="str">
        <f t="shared" si="2"/>
        <v>Cheaper in UK</v>
      </c>
    </row>
    <row r="65" spans="1:17" x14ac:dyDescent="0.3">
      <c r="A65" t="s">
        <v>4</v>
      </c>
      <c r="B65">
        <v>69</v>
      </c>
      <c r="C65" t="s">
        <v>7</v>
      </c>
      <c r="D65">
        <v>3470</v>
      </c>
      <c r="E65">
        <v>170000</v>
      </c>
      <c r="F65">
        <v>2</v>
      </c>
      <c r="G65" s="4" t="s">
        <v>8</v>
      </c>
      <c r="H65" s="4" t="s">
        <v>9</v>
      </c>
      <c r="I65">
        <v>4500</v>
      </c>
      <c r="J65" s="7">
        <f t="shared" si="0"/>
        <v>9.506849315068493</v>
      </c>
      <c r="K65">
        <f t="shared" si="1"/>
        <v>17881.844380403458</v>
      </c>
      <c r="Q65" t="str">
        <f t="shared" si="2"/>
        <v>More Expensive</v>
      </c>
    </row>
    <row r="66" spans="1:17" x14ac:dyDescent="0.3">
      <c r="A66" t="s">
        <v>0</v>
      </c>
      <c r="B66">
        <v>69</v>
      </c>
      <c r="C66" t="s">
        <v>1</v>
      </c>
      <c r="D66">
        <v>4383</v>
      </c>
      <c r="E66">
        <v>170000</v>
      </c>
      <c r="F66">
        <v>2</v>
      </c>
      <c r="G66" s="4" t="s">
        <v>182</v>
      </c>
      <c r="H66" s="5" t="s">
        <v>452</v>
      </c>
      <c r="I66">
        <v>4500</v>
      </c>
      <c r="J66" s="7">
        <f t="shared" si="0"/>
        <v>12.008219178082191</v>
      </c>
      <c r="K66">
        <f t="shared" si="1"/>
        <v>14156.970111795574</v>
      </c>
      <c r="Q66" t="str">
        <f t="shared" si="2"/>
        <v>Cheaper in UK</v>
      </c>
    </row>
    <row r="67" spans="1:17" x14ac:dyDescent="0.3">
      <c r="A67" t="s">
        <v>0</v>
      </c>
      <c r="B67">
        <v>69</v>
      </c>
      <c r="C67" t="s">
        <v>1</v>
      </c>
      <c r="D67">
        <v>4383</v>
      </c>
      <c r="E67">
        <v>90000</v>
      </c>
      <c r="F67">
        <v>1</v>
      </c>
      <c r="G67" s="4" t="s">
        <v>173</v>
      </c>
      <c r="H67" s="5" t="s">
        <v>451</v>
      </c>
      <c r="I67">
        <v>4500</v>
      </c>
      <c r="J67" s="7">
        <f t="shared" ref="J67:J130" si="4">D67/365</f>
        <v>12.008219178082191</v>
      </c>
      <c r="K67">
        <f t="shared" ref="K67:K130" si="5">E67/J67</f>
        <v>7494.8665297741272</v>
      </c>
      <c r="Q67" t="str">
        <f t="shared" ref="Q67:Q130" si="6">IF(C67 = "manual", "Cheaper in UK","More Expensive")</f>
        <v>Cheaper in UK</v>
      </c>
    </row>
    <row r="68" spans="1:17" x14ac:dyDescent="0.3">
      <c r="A68" t="s">
        <v>4</v>
      </c>
      <c r="B68">
        <v>69</v>
      </c>
      <c r="C68" t="s">
        <v>1</v>
      </c>
      <c r="D68">
        <v>3927</v>
      </c>
      <c r="E68">
        <v>156000</v>
      </c>
      <c r="F68">
        <v>2</v>
      </c>
      <c r="G68" s="5" t="s">
        <v>477</v>
      </c>
      <c r="H68" s="4" t="s">
        <v>183</v>
      </c>
      <c r="I68">
        <v>4500</v>
      </c>
      <c r="J68" s="7">
        <f t="shared" si="4"/>
        <v>10.758904109589041</v>
      </c>
      <c r="K68">
        <f t="shared" si="5"/>
        <v>14499.618029029794</v>
      </c>
      <c r="Q68" t="str">
        <f t="shared" si="6"/>
        <v>Cheaper in UK</v>
      </c>
    </row>
    <row r="69" spans="1:17" x14ac:dyDescent="0.3">
      <c r="A69" t="s">
        <v>4</v>
      </c>
      <c r="B69">
        <v>69</v>
      </c>
      <c r="C69" t="s">
        <v>1</v>
      </c>
      <c r="D69">
        <v>4139</v>
      </c>
      <c r="E69">
        <v>123105</v>
      </c>
      <c r="F69">
        <v>2</v>
      </c>
      <c r="G69" s="4" t="s">
        <v>136</v>
      </c>
      <c r="H69" s="5" t="s">
        <v>449</v>
      </c>
      <c r="I69">
        <v>4500</v>
      </c>
      <c r="J69" s="7">
        <f t="shared" si="4"/>
        <v>11.33972602739726</v>
      </c>
      <c r="K69">
        <f t="shared" si="5"/>
        <v>10856.082387050012</v>
      </c>
      <c r="Q69" t="str">
        <f t="shared" si="6"/>
        <v>Cheaper in UK</v>
      </c>
    </row>
    <row r="70" spans="1:17" x14ac:dyDescent="0.3">
      <c r="A70" t="s">
        <v>4</v>
      </c>
      <c r="B70">
        <v>69</v>
      </c>
      <c r="C70" t="s">
        <v>7</v>
      </c>
      <c r="D70">
        <v>4230</v>
      </c>
      <c r="E70">
        <v>145815</v>
      </c>
      <c r="F70">
        <v>1</v>
      </c>
      <c r="G70" s="4" t="s">
        <v>184</v>
      </c>
      <c r="H70" s="4" t="s">
        <v>185</v>
      </c>
      <c r="I70">
        <v>4500</v>
      </c>
      <c r="J70" s="7">
        <f t="shared" si="4"/>
        <v>11.58904109589041</v>
      </c>
      <c r="K70">
        <f t="shared" si="5"/>
        <v>12582.145390070922</v>
      </c>
      <c r="Q70" t="str">
        <f t="shared" si="6"/>
        <v>More Expensive</v>
      </c>
    </row>
    <row r="71" spans="1:17" x14ac:dyDescent="0.3">
      <c r="A71" t="s">
        <v>4</v>
      </c>
      <c r="B71">
        <v>69</v>
      </c>
      <c r="C71" t="s">
        <v>1</v>
      </c>
      <c r="D71">
        <v>3804</v>
      </c>
      <c r="E71">
        <v>114000</v>
      </c>
      <c r="F71">
        <v>1</v>
      </c>
      <c r="G71" s="4" t="s">
        <v>186</v>
      </c>
      <c r="H71" s="4" t="s">
        <v>187</v>
      </c>
      <c r="I71">
        <v>4500</v>
      </c>
      <c r="J71" s="7">
        <f t="shared" si="4"/>
        <v>10.421917808219177</v>
      </c>
      <c r="K71">
        <f t="shared" si="5"/>
        <v>10938.485804416405</v>
      </c>
      <c r="Q71" t="str">
        <f t="shared" si="6"/>
        <v>Cheaper in UK</v>
      </c>
    </row>
    <row r="72" spans="1:17" x14ac:dyDescent="0.3">
      <c r="A72" t="s">
        <v>10</v>
      </c>
      <c r="B72">
        <v>69</v>
      </c>
      <c r="C72" t="s">
        <v>1</v>
      </c>
      <c r="D72">
        <v>4108</v>
      </c>
      <c r="E72">
        <v>146692</v>
      </c>
      <c r="F72">
        <v>1</v>
      </c>
      <c r="G72" s="4" t="s">
        <v>188</v>
      </c>
      <c r="H72" s="5" t="s">
        <v>453</v>
      </c>
      <c r="I72">
        <v>4500</v>
      </c>
      <c r="J72" s="7">
        <f t="shared" si="4"/>
        <v>11.254794520547945</v>
      </c>
      <c r="K72">
        <f t="shared" si="5"/>
        <v>13033.73417721519</v>
      </c>
      <c r="Q72" t="str">
        <f t="shared" si="6"/>
        <v>Cheaper in UK</v>
      </c>
    </row>
    <row r="73" spans="1:17" x14ac:dyDescent="0.3">
      <c r="A73" t="s">
        <v>4</v>
      </c>
      <c r="B73">
        <v>69</v>
      </c>
      <c r="C73" t="s">
        <v>1</v>
      </c>
      <c r="D73">
        <v>4049</v>
      </c>
      <c r="E73">
        <v>158000</v>
      </c>
      <c r="F73">
        <v>1</v>
      </c>
      <c r="G73" s="4" t="s">
        <v>189</v>
      </c>
      <c r="H73" s="4" t="s">
        <v>190</v>
      </c>
      <c r="I73">
        <v>4500</v>
      </c>
      <c r="J73" s="7">
        <f t="shared" si="4"/>
        <v>11.093150684931507</v>
      </c>
      <c r="K73">
        <f t="shared" si="5"/>
        <v>14243.02296863423</v>
      </c>
      <c r="Q73" t="str">
        <f t="shared" si="6"/>
        <v>Cheaper in UK</v>
      </c>
    </row>
    <row r="74" spans="1:17" x14ac:dyDescent="0.3">
      <c r="A74" t="s">
        <v>0</v>
      </c>
      <c r="B74">
        <v>69</v>
      </c>
      <c r="C74" t="s">
        <v>1</v>
      </c>
      <c r="D74">
        <v>4443</v>
      </c>
      <c r="E74">
        <v>113000</v>
      </c>
      <c r="F74">
        <v>1</v>
      </c>
      <c r="G74" s="5" t="s">
        <v>478</v>
      </c>
      <c r="H74" s="4" t="s">
        <v>191</v>
      </c>
      <c r="I74">
        <v>4500</v>
      </c>
      <c r="J74" s="7">
        <f t="shared" si="4"/>
        <v>12.172602739726027</v>
      </c>
      <c r="K74">
        <f t="shared" si="5"/>
        <v>9283.1420211568766</v>
      </c>
      <c r="Q74" t="str">
        <f t="shared" si="6"/>
        <v>Cheaper in UK</v>
      </c>
    </row>
    <row r="75" spans="1:17" x14ac:dyDescent="0.3">
      <c r="A75" t="s">
        <v>10</v>
      </c>
      <c r="B75">
        <v>69</v>
      </c>
      <c r="C75" t="s">
        <v>1</v>
      </c>
      <c r="D75">
        <v>4139</v>
      </c>
      <c r="E75">
        <v>79709</v>
      </c>
      <c r="F75">
        <v>1</v>
      </c>
      <c r="G75" s="4" t="s">
        <v>11</v>
      </c>
      <c r="H75" s="4" t="s">
        <v>12</v>
      </c>
      <c r="I75">
        <v>4500</v>
      </c>
      <c r="J75" s="7">
        <f t="shared" si="4"/>
        <v>11.33972602739726</v>
      </c>
      <c r="K75">
        <f t="shared" si="5"/>
        <v>7029.1821696061852</v>
      </c>
      <c r="Q75" t="str">
        <f t="shared" si="6"/>
        <v>Cheaper in UK</v>
      </c>
    </row>
    <row r="76" spans="1:17" x14ac:dyDescent="0.3">
      <c r="A76" t="s">
        <v>4</v>
      </c>
      <c r="B76">
        <v>69</v>
      </c>
      <c r="C76" t="s">
        <v>7</v>
      </c>
      <c r="D76">
        <v>4169</v>
      </c>
      <c r="E76">
        <v>137000</v>
      </c>
      <c r="F76">
        <v>1</v>
      </c>
      <c r="G76" s="4" t="s">
        <v>121</v>
      </c>
      <c r="H76" s="4" t="s">
        <v>122</v>
      </c>
      <c r="I76">
        <v>4500</v>
      </c>
      <c r="J76" s="7">
        <f t="shared" si="4"/>
        <v>11.421917808219177</v>
      </c>
      <c r="K76">
        <f t="shared" si="5"/>
        <v>11994.483089469897</v>
      </c>
      <c r="Q76" t="str">
        <f t="shared" si="6"/>
        <v>More Expensive</v>
      </c>
    </row>
    <row r="77" spans="1:17" x14ac:dyDescent="0.3">
      <c r="A77" t="s">
        <v>10</v>
      </c>
      <c r="B77">
        <v>99</v>
      </c>
      <c r="C77" t="s">
        <v>1</v>
      </c>
      <c r="D77">
        <v>4566</v>
      </c>
      <c r="E77">
        <v>155151</v>
      </c>
      <c r="F77">
        <v>2</v>
      </c>
      <c r="G77" s="4" t="s">
        <v>39</v>
      </c>
      <c r="H77" s="4" t="s">
        <v>40</v>
      </c>
      <c r="I77">
        <v>4500</v>
      </c>
      <c r="J77" s="7">
        <f t="shared" si="4"/>
        <v>12.509589041095891</v>
      </c>
      <c r="K77">
        <f t="shared" si="5"/>
        <v>12402.565703022337</v>
      </c>
      <c r="Q77" t="str">
        <f t="shared" si="6"/>
        <v>Cheaper in UK</v>
      </c>
    </row>
    <row r="78" spans="1:17" x14ac:dyDescent="0.3">
      <c r="A78" t="s">
        <v>4</v>
      </c>
      <c r="B78">
        <v>84</v>
      </c>
      <c r="C78" t="s">
        <v>1</v>
      </c>
      <c r="D78">
        <v>2769</v>
      </c>
      <c r="E78">
        <v>128000</v>
      </c>
      <c r="F78">
        <v>1</v>
      </c>
      <c r="G78" s="4" t="s">
        <v>192</v>
      </c>
      <c r="H78" s="5" t="s">
        <v>454</v>
      </c>
      <c r="I78">
        <v>4500</v>
      </c>
      <c r="J78" s="7">
        <f t="shared" si="4"/>
        <v>7.5863013698630137</v>
      </c>
      <c r="K78">
        <f t="shared" si="5"/>
        <v>16872.517154207297</v>
      </c>
      <c r="Q78" t="str">
        <f t="shared" si="6"/>
        <v>Cheaper in UK</v>
      </c>
    </row>
    <row r="79" spans="1:17" x14ac:dyDescent="0.3">
      <c r="A79" t="s">
        <v>0</v>
      </c>
      <c r="B79">
        <v>69</v>
      </c>
      <c r="C79" t="s">
        <v>1</v>
      </c>
      <c r="D79">
        <v>3653</v>
      </c>
      <c r="E79">
        <v>81000</v>
      </c>
      <c r="F79">
        <v>2</v>
      </c>
      <c r="G79" s="4" t="s">
        <v>22</v>
      </c>
      <c r="H79" s="4" t="s">
        <v>23</v>
      </c>
      <c r="I79">
        <v>4500</v>
      </c>
      <c r="J79" s="7">
        <f t="shared" si="4"/>
        <v>10.008219178082191</v>
      </c>
      <c r="K79">
        <f t="shared" si="5"/>
        <v>8093.3479332055849</v>
      </c>
      <c r="Q79" t="str">
        <f t="shared" si="6"/>
        <v>Cheaper in UK</v>
      </c>
    </row>
    <row r="80" spans="1:17" x14ac:dyDescent="0.3">
      <c r="A80" t="s">
        <v>10</v>
      </c>
      <c r="B80">
        <v>69</v>
      </c>
      <c r="C80" t="s">
        <v>1</v>
      </c>
      <c r="D80">
        <v>4322</v>
      </c>
      <c r="E80">
        <v>103387</v>
      </c>
      <c r="F80">
        <v>2</v>
      </c>
      <c r="G80" s="5" t="s">
        <v>468</v>
      </c>
      <c r="H80" s="4" t="s">
        <v>115</v>
      </c>
      <c r="I80">
        <v>4500</v>
      </c>
      <c r="J80" s="7">
        <f t="shared" si="4"/>
        <v>11.841095890410958</v>
      </c>
      <c r="K80">
        <f t="shared" si="5"/>
        <v>8731.2019898195285</v>
      </c>
      <c r="Q80" t="str">
        <f t="shared" si="6"/>
        <v>Cheaper in UK</v>
      </c>
    </row>
    <row r="81" spans="1:17" x14ac:dyDescent="0.3">
      <c r="A81" t="s">
        <v>0</v>
      </c>
      <c r="B81">
        <v>69</v>
      </c>
      <c r="C81" t="s">
        <v>1</v>
      </c>
      <c r="D81">
        <v>4200</v>
      </c>
      <c r="E81">
        <v>131000</v>
      </c>
      <c r="F81">
        <v>2</v>
      </c>
      <c r="G81" s="4" t="s">
        <v>193</v>
      </c>
      <c r="H81" s="4" t="s">
        <v>194</v>
      </c>
      <c r="I81">
        <v>4500</v>
      </c>
      <c r="J81" s="7">
        <f t="shared" si="4"/>
        <v>11.506849315068493</v>
      </c>
      <c r="K81">
        <f t="shared" si="5"/>
        <v>11384.523809523809</v>
      </c>
      <c r="Q81" t="str">
        <f t="shared" si="6"/>
        <v>Cheaper in UK</v>
      </c>
    </row>
    <row r="82" spans="1:17" x14ac:dyDescent="0.3">
      <c r="A82" t="s">
        <v>4</v>
      </c>
      <c r="B82">
        <v>99</v>
      </c>
      <c r="C82" t="s">
        <v>1</v>
      </c>
      <c r="D82">
        <v>4658</v>
      </c>
      <c r="E82">
        <v>143000</v>
      </c>
      <c r="F82">
        <v>2</v>
      </c>
      <c r="G82" s="4" t="s">
        <v>5</v>
      </c>
      <c r="H82" s="4" t="s">
        <v>6</v>
      </c>
      <c r="I82">
        <v>4500</v>
      </c>
      <c r="J82" s="7">
        <f t="shared" si="4"/>
        <v>12.761643835616438</v>
      </c>
      <c r="K82">
        <f t="shared" si="5"/>
        <v>11205.452984113354</v>
      </c>
      <c r="Q82" t="str">
        <f t="shared" si="6"/>
        <v>Cheaper in UK</v>
      </c>
    </row>
    <row r="83" spans="1:17" x14ac:dyDescent="0.3">
      <c r="A83" t="s">
        <v>0</v>
      </c>
      <c r="B83">
        <v>69</v>
      </c>
      <c r="C83" t="s">
        <v>1</v>
      </c>
      <c r="D83">
        <v>4018</v>
      </c>
      <c r="E83">
        <v>99999</v>
      </c>
      <c r="F83">
        <v>1</v>
      </c>
      <c r="G83" s="4" t="s">
        <v>195</v>
      </c>
      <c r="H83" s="4" t="s">
        <v>196</v>
      </c>
      <c r="I83">
        <v>4500</v>
      </c>
      <c r="J83" s="7">
        <f t="shared" si="4"/>
        <v>11.008219178082191</v>
      </c>
      <c r="K83">
        <f t="shared" si="5"/>
        <v>9084.0306122448983</v>
      </c>
      <c r="Q83" t="str">
        <f t="shared" si="6"/>
        <v>Cheaper in UK</v>
      </c>
    </row>
    <row r="84" spans="1:17" x14ac:dyDescent="0.3">
      <c r="A84" t="s">
        <v>10</v>
      </c>
      <c r="B84">
        <v>69</v>
      </c>
      <c r="C84" t="s">
        <v>1</v>
      </c>
      <c r="D84">
        <v>4322</v>
      </c>
      <c r="E84">
        <v>95000</v>
      </c>
      <c r="F84">
        <v>1</v>
      </c>
      <c r="G84" s="4" t="s">
        <v>197</v>
      </c>
      <c r="H84" s="4" t="s">
        <v>198</v>
      </c>
      <c r="I84">
        <v>4500</v>
      </c>
      <c r="J84" s="7">
        <f t="shared" si="4"/>
        <v>11.841095890410958</v>
      </c>
      <c r="K84">
        <f t="shared" si="5"/>
        <v>8022.9060620083301</v>
      </c>
      <c r="Q84" t="str">
        <f t="shared" si="6"/>
        <v>Cheaper in UK</v>
      </c>
    </row>
    <row r="85" spans="1:17" x14ac:dyDescent="0.3">
      <c r="A85" t="s">
        <v>4</v>
      </c>
      <c r="B85">
        <v>84</v>
      </c>
      <c r="C85" t="s">
        <v>1</v>
      </c>
      <c r="D85">
        <v>2769</v>
      </c>
      <c r="E85">
        <v>128000</v>
      </c>
      <c r="F85">
        <v>1</v>
      </c>
      <c r="G85" s="4" t="s">
        <v>192</v>
      </c>
      <c r="H85" s="5" t="s">
        <v>454</v>
      </c>
      <c r="I85">
        <v>4500</v>
      </c>
      <c r="J85" s="7">
        <f t="shared" si="4"/>
        <v>7.5863013698630137</v>
      </c>
      <c r="K85">
        <f t="shared" si="5"/>
        <v>16872.517154207297</v>
      </c>
      <c r="Q85" t="str">
        <f t="shared" si="6"/>
        <v>Cheaper in UK</v>
      </c>
    </row>
    <row r="86" spans="1:17" x14ac:dyDescent="0.3">
      <c r="A86" t="s">
        <v>0</v>
      </c>
      <c r="B86">
        <v>69</v>
      </c>
      <c r="C86" t="s">
        <v>1</v>
      </c>
      <c r="D86">
        <v>3653</v>
      </c>
      <c r="E86">
        <v>81000</v>
      </c>
      <c r="F86">
        <v>2</v>
      </c>
      <c r="G86" s="4" t="s">
        <v>22</v>
      </c>
      <c r="H86" s="4" t="s">
        <v>23</v>
      </c>
      <c r="I86">
        <v>4500</v>
      </c>
      <c r="J86" s="7">
        <f t="shared" si="4"/>
        <v>10.008219178082191</v>
      </c>
      <c r="K86">
        <f t="shared" si="5"/>
        <v>8093.3479332055849</v>
      </c>
      <c r="Q86" t="str">
        <f t="shared" si="6"/>
        <v>Cheaper in UK</v>
      </c>
    </row>
    <row r="87" spans="1:17" x14ac:dyDescent="0.3">
      <c r="A87" t="s">
        <v>10</v>
      </c>
      <c r="B87">
        <v>69</v>
      </c>
      <c r="C87" t="s">
        <v>1</v>
      </c>
      <c r="D87">
        <v>4322</v>
      </c>
      <c r="E87">
        <v>103387</v>
      </c>
      <c r="F87">
        <v>2</v>
      </c>
      <c r="G87" s="5" t="s">
        <v>468</v>
      </c>
      <c r="H87" s="4" t="s">
        <v>115</v>
      </c>
      <c r="I87">
        <v>4500</v>
      </c>
      <c r="J87" s="7">
        <f t="shared" si="4"/>
        <v>11.841095890410958</v>
      </c>
      <c r="K87">
        <f t="shared" si="5"/>
        <v>8731.2019898195285</v>
      </c>
      <c r="Q87" t="str">
        <f t="shared" si="6"/>
        <v>Cheaper in UK</v>
      </c>
    </row>
    <row r="88" spans="1:17" x14ac:dyDescent="0.3">
      <c r="A88" t="s">
        <v>0</v>
      </c>
      <c r="B88">
        <v>69</v>
      </c>
      <c r="C88" t="s">
        <v>1</v>
      </c>
      <c r="D88">
        <v>4200</v>
      </c>
      <c r="E88">
        <v>131000</v>
      </c>
      <c r="F88">
        <v>2</v>
      </c>
      <c r="G88" s="4" t="s">
        <v>193</v>
      </c>
      <c r="H88" s="4" t="s">
        <v>194</v>
      </c>
      <c r="I88">
        <v>4500</v>
      </c>
      <c r="J88" s="7">
        <f t="shared" si="4"/>
        <v>11.506849315068493</v>
      </c>
      <c r="K88">
        <f t="shared" si="5"/>
        <v>11384.523809523809</v>
      </c>
      <c r="Q88" t="str">
        <f t="shared" si="6"/>
        <v>Cheaper in UK</v>
      </c>
    </row>
    <row r="89" spans="1:17" x14ac:dyDescent="0.3">
      <c r="A89" t="s">
        <v>4</v>
      </c>
      <c r="B89">
        <v>99</v>
      </c>
      <c r="C89" t="s">
        <v>1</v>
      </c>
      <c r="D89">
        <v>4658</v>
      </c>
      <c r="E89">
        <v>143000</v>
      </c>
      <c r="F89">
        <v>2</v>
      </c>
      <c r="G89" s="4" t="s">
        <v>5</v>
      </c>
      <c r="H89" s="4" t="s">
        <v>6</v>
      </c>
      <c r="I89">
        <v>4500</v>
      </c>
      <c r="J89" s="7">
        <f t="shared" si="4"/>
        <v>12.761643835616438</v>
      </c>
      <c r="K89">
        <f t="shared" si="5"/>
        <v>11205.452984113354</v>
      </c>
      <c r="Q89" t="str">
        <f t="shared" si="6"/>
        <v>Cheaper in UK</v>
      </c>
    </row>
    <row r="90" spans="1:17" x14ac:dyDescent="0.3">
      <c r="A90" t="s">
        <v>0</v>
      </c>
      <c r="B90">
        <v>69</v>
      </c>
      <c r="C90" t="s">
        <v>1</v>
      </c>
      <c r="D90">
        <v>4018</v>
      </c>
      <c r="E90">
        <v>99999</v>
      </c>
      <c r="F90">
        <v>1</v>
      </c>
      <c r="G90" s="4" t="s">
        <v>195</v>
      </c>
      <c r="H90" s="4" t="s">
        <v>196</v>
      </c>
      <c r="I90">
        <v>4500</v>
      </c>
      <c r="J90" s="7">
        <f t="shared" si="4"/>
        <v>11.008219178082191</v>
      </c>
      <c r="K90">
        <f t="shared" si="5"/>
        <v>9084.0306122448983</v>
      </c>
      <c r="Q90" t="str">
        <f t="shared" si="6"/>
        <v>Cheaper in UK</v>
      </c>
    </row>
    <row r="91" spans="1:17" x14ac:dyDescent="0.3">
      <c r="A91" t="s">
        <v>10</v>
      </c>
      <c r="B91">
        <v>69</v>
      </c>
      <c r="C91" t="s">
        <v>1</v>
      </c>
      <c r="D91">
        <v>4322</v>
      </c>
      <c r="E91">
        <v>95000</v>
      </c>
      <c r="F91">
        <v>1</v>
      </c>
      <c r="G91" s="4" t="s">
        <v>197</v>
      </c>
      <c r="H91" s="4" t="s">
        <v>198</v>
      </c>
      <c r="I91">
        <v>4500</v>
      </c>
      <c r="J91" s="7">
        <f t="shared" si="4"/>
        <v>11.841095890410958</v>
      </c>
      <c r="K91">
        <f t="shared" si="5"/>
        <v>8022.9060620083301</v>
      </c>
      <c r="Q91" t="str">
        <f t="shared" si="6"/>
        <v>Cheaper in UK</v>
      </c>
    </row>
    <row r="92" spans="1:17" x14ac:dyDescent="0.3">
      <c r="A92" t="s">
        <v>4</v>
      </c>
      <c r="B92">
        <v>101</v>
      </c>
      <c r="C92" t="s">
        <v>1</v>
      </c>
      <c r="D92">
        <v>3835</v>
      </c>
      <c r="E92">
        <v>112000</v>
      </c>
      <c r="F92">
        <v>1</v>
      </c>
      <c r="G92" s="5" t="s">
        <v>479</v>
      </c>
      <c r="H92" s="5" t="s">
        <v>455</v>
      </c>
      <c r="I92">
        <v>4600</v>
      </c>
      <c r="J92" s="7">
        <f t="shared" si="4"/>
        <v>10.506849315068493</v>
      </c>
      <c r="K92">
        <f t="shared" si="5"/>
        <v>10659.713168187745</v>
      </c>
      <c r="Q92" t="str">
        <f t="shared" si="6"/>
        <v>Cheaper in UK</v>
      </c>
    </row>
    <row r="93" spans="1:17" x14ac:dyDescent="0.3">
      <c r="A93" t="s">
        <v>4</v>
      </c>
      <c r="B93">
        <v>69</v>
      </c>
      <c r="C93" t="s">
        <v>1</v>
      </c>
      <c r="D93">
        <v>3258</v>
      </c>
      <c r="E93">
        <v>139700</v>
      </c>
      <c r="F93">
        <v>1</v>
      </c>
      <c r="G93" s="4" t="s">
        <v>199</v>
      </c>
      <c r="H93" s="4" t="s">
        <v>200</v>
      </c>
      <c r="I93">
        <v>4600</v>
      </c>
      <c r="J93" s="7">
        <f t="shared" si="4"/>
        <v>8.9260273972602739</v>
      </c>
      <c r="K93">
        <f t="shared" si="5"/>
        <v>15650.859422958871</v>
      </c>
      <c r="Q93" t="str">
        <f t="shared" si="6"/>
        <v>Cheaper in UK</v>
      </c>
    </row>
    <row r="94" spans="1:17" x14ac:dyDescent="0.3">
      <c r="A94" t="s">
        <v>4</v>
      </c>
      <c r="B94">
        <v>101</v>
      </c>
      <c r="C94" t="s">
        <v>1</v>
      </c>
      <c r="D94">
        <v>3835</v>
      </c>
      <c r="E94">
        <v>112000</v>
      </c>
      <c r="F94">
        <v>1</v>
      </c>
      <c r="G94" s="5" t="s">
        <v>479</v>
      </c>
      <c r="H94" s="5" t="s">
        <v>455</v>
      </c>
      <c r="I94">
        <v>4600</v>
      </c>
      <c r="J94" s="7">
        <f t="shared" si="4"/>
        <v>10.506849315068493</v>
      </c>
      <c r="K94">
        <f t="shared" si="5"/>
        <v>10659.713168187745</v>
      </c>
      <c r="Q94" t="str">
        <f t="shared" si="6"/>
        <v>Cheaper in UK</v>
      </c>
    </row>
    <row r="95" spans="1:17" x14ac:dyDescent="0.3">
      <c r="A95" t="s">
        <v>4</v>
      </c>
      <c r="B95">
        <v>69</v>
      </c>
      <c r="C95" t="s">
        <v>1</v>
      </c>
      <c r="D95">
        <v>3258</v>
      </c>
      <c r="E95">
        <v>139700</v>
      </c>
      <c r="F95">
        <v>1</v>
      </c>
      <c r="G95" s="4" t="s">
        <v>199</v>
      </c>
      <c r="H95" s="4" t="s">
        <v>200</v>
      </c>
      <c r="I95">
        <v>4600</v>
      </c>
      <c r="J95" s="7">
        <f t="shared" si="4"/>
        <v>8.9260273972602739</v>
      </c>
      <c r="K95">
        <f t="shared" si="5"/>
        <v>15650.859422958871</v>
      </c>
      <c r="Q95" t="str">
        <f t="shared" si="6"/>
        <v>Cheaper in UK</v>
      </c>
    </row>
    <row r="96" spans="1:17" x14ac:dyDescent="0.3">
      <c r="A96" t="s">
        <v>4</v>
      </c>
      <c r="B96">
        <v>84</v>
      </c>
      <c r="C96" t="s">
        <v>1</v>
      </c>
      <c r="D96">
        <v>3347</v>
      </c>
      <c r="E96">
        <v>138000</v>
      </c>
      <c r="F96">
        <v>2</v>
      </c>
      <c r="G96" s="4" t="s">
        <v>55</v>
      </c>
      <c r="H96" s="4" t="s">
        <v>56</v>
      </c>
      <c r="I96">
        <v>4600</v>
      </c>
      <c r="J96" s="7">
        <f t="shared" si="4"/>
        <v>9.169863013698631</v>
      </c>
      <c r="K96">
        <f t="shared" si="5"/>
        <v>15049.29787869734</v>
      </c>
      <c r="Q96" t="str">
        <f t="shared" si="6"/>
        <v>Cheaper in UK</v>
      </c>
    </row>
    <row r="97" spans="1:17" x14ac:dyDescent="0.3">
      <c r="A97" t="s">
        <v>4</v>
      </c>
      <c r="B97">
        <v>101</v>
      </c>
      <c r="C97" t="s">
        <v>1</v>
      </c>
      <c r="D97">
        <v>4322</v>
      </c>
      <c r="E97">
        <v>170000</v>
      </c>
      <c r="F97">
        <v>2</v>
      </c>
      <c r="G97" s="4" t="s">
        <v>99</v>
      </c>
      <c r="H97" s="5" t="s">
        <v>445</v>
      </c>
      <c r="I97">
        <v>4600</v>
      </c>
      <c r="J97" s="7">
        <f t="shared" si="4"/>
        <v>11.841095890410958</v>
      </c>
      <c r="K97">
        <f t="shared" si="5"/>
        <v>14356.779268857012</v>
      </c>
      <c r="Q97" t="str">
        <f t="shared" si="6"/>
        <v>Cheaper in UK</v>
      </c>
    </row>
    <row r="98" spans="1:17" x14ac:dyDescent="0.3">
      <c r="A98" t="s">
        <v>0</v>
      </c>
      <c r="B98">
        <v>69</v>
      </c>
      <c r="C98" t="s">
        <v>1</v>
      </c>
      <c r="D98">
        <v>3835</v>
      </c>
      <c r="E98">
        <v>115000</v>
      </c>
      <c r="F98">
        <v>1</v>
      </c>
      <c r="G98" s="4" t="s">
        <v>201</v>
      </c>
      <c r="H98" s="4" t="s">
        <v>202</v>
      </c>
      <c r="I98">
        <v>4600</v>
      </c>
      <c r="J98" s="7">
        <f t="shared" si="4"/>
        <v>10.506849315068493</v>
      </c>
      <c r="K98">
        <f t="shared" si="5"/>
        <v>10945.241199478487</v>
      </c>
      <c r="Q98" t="str">
        <f t="shared" si="6"/>
        <v>Cheaper in UK</v>
      </c>
    </row>
    <row r="99" spans="1:17" x14ac:dyDescent="0.3">
      <c r="A99" t="s">
        <v>4</v>
      </c>
      <c r="B99">
        <v>69</v>
      </c>
      <c r="C99" t="s">
        <v>1</v>
      </c>
      <c r="D99">
        <v>4200</v>
      </c>
      <c r="E99">
        <v>164000</v>
      </c>
      <c r="F99">
        <v>2</v>
      </c>
      <c r="G99" s="4" t="s">
        <v>203</v>
      </c>
      <c r="H99" s="4" t="s">
        <v>204</v>
      </c>
      <c r="I99">
        <v>4650</v>
      </c>
      <c r="J99" s="7">
        <f t="shared" si="4"/>
        <v>11.506849315068493</v>
      </c>
      <c r="K99">
        <f t="shared" si="5"/>
        <v>14252.380952380952</v>
      </c>
      <c r="Q99" t="str">
        <f t="shared" si="6"/>
        <v>Cheaper in UK</v>
      </c>
    </row>
    <row r="100" spans="1:17" x14ac:dyDescent="0.3">
      <c r="A100" t="s">
        <v>4</v>
      </c>
      <c r="B100">
        <v>69</v>
      </c>
      <c r="C100" t="s">
        <v>1</v>
      </c>
      <c r="D100">
        <v>4383</v>
      </c>
      <c r="E100">
        <v>125000</v>
      </c>
      <c r="F100">
        <v>2</v>
      </c>
      <c r="G100" s="4" t="s">
        <v>53</v>
      </c>
      <c r="H100" s="4" t="s">
        <v>54</v>
      </c>
      <c r="I100">
        <v>4690</v>
      </c>
      <c r="J100" s="7">
        <f t="shared" si="4"/>
        <v>12.008219178082191</v>
      </c>
      <c r="K100">
        <f t="shared" si="5"/>
        <v>10409.536846908512</v>
      </c>
      <c r="Q100" t="str">
        <f t="shared" si="6"/>
        <v>Cheaper in UK</v>
      </c>
    </row>
    <row r="101" spans="1:17" x14ac:dyDescent="0.3">
      <c r="A101" t="s">
        <v>10</v>
      </c>
      <c r="B101">
        <v>69</v>
      </c>
      <c r="C101" t="s">
        <v>1</v>
      </c>
      <c r="D101">
        <v>3288</v>
      </c>
      <c r="E101">
        <v>132000</v>
      </c>
      <c r="F101">
        <v>2</v>
      </c>
      <c r="G101" s="4" t="s">
        <v>11</v>
      </c>
      <c r="H101" s="4" t="s">
        <v>12</v>
      </c>
      <c r="I101">
        <v>4700</v>
      </c>
      <c r="J101" s="7">
        <f t="shared" si="4"/>
        <v>9.0082191780821912</v>
      </c>
      <c r="K101">
        <f t="shared" si="5"/>
        <v>14653.284671532847</v>
      </c>
      <c r="Q101" t="str">
        <f t="shared" si="6"/>
        <v>Cheaper in UK</v>
      </c>
    </row>
    <row r="102" spans="1:17" x14ac:dyDescent="0.3">
      <c r="A102" t="s">
        <v>4</v>
      </c>
      <c r="B102">
        <v>69</v>
      </c>
      <c r="C102" t="s">
        <v>1</v>
      </c>
      <c r="D102">
        <v>4200</v>
      </c>
      <c r="E102">
        <v>97000</v>
      </c>
      <c r="F102">
        <v>2</v>
      </c>
      <c r="G102" s="4" t="s">
        <v>91</v>
      </c>
      <c r="H102" s="4" t="s">
        <v>92</v>
      </c>
      <c r="I102">
        <v>4700</v>
      </c>
      <c r="J102" s="7">
        <f t="shared" si="4"/>
        <v>11.506849315068493</v>
      </c>
      <c r="K102">
        <f t="shared" si="5"/>
        <v>8429.7619047619046</v>
      </c>
      <c r="Q102" t="str">
        <f t="shared" si="6"/>
        <v>Cheaper in UK</v>
      </c>
    </row>
    <row r="103" spans="1:17" x14ac:dyDescent="0.3">
      <c r="A103" t="s">
        <v>4</v>
      </c>
      <c r="B103">
        <v>69</v>
      </c>
      <c r="C103" t="s">
        <v>1</v>
      </c>
      <c r="D103">
        <v>3531</v>
      </c>
      <c r="E103">
        <v>159200</v>
      </c>
      <c r="F103">
        <v>2</v>
      </c>
      <c r="G103" s="4" t="s">
        <v>205</v>
      </c>
      <c r="H103" s="4" t="s">
        <v>206</v>
      </c>
      <c r="I103">
        <v>4700</v>
      </c>
      <c r="J103" s="7">
        <f t="shared" si="4"/>
        <v>9.6739726027397257</v>
      </c>
      <c r="K103">
        <f t="shared" si="5"/>
        <v>16456.527895780233</v>
      </c>
      <c r="Q103" t="str">
        <f t="shared" si="6"/>
        <v>Cheaper in UK</v>
      </c>
    </row>
    <row r="104" spans="1:17" x14ac:dyDescent="0.3">
      <c r="A104" t="s">
        <v>4</v>
      </c>
      <c r="B104">
        <v>69</v>
      </c>
      <c r="C104" t="s">
        <v>1</v>
      </c>
      <c r="D104">
        <v>3013</v>
      </c>
      <c r="E104">
        <v>220034</v>
      </c>
      <c r="F104">
        <v>2</v>
      </c>
      <c r="G104" s="4" t="s">
        <v>207</v>
      </c>
      <c r="H104" s="4" t="s">
        <v>208</v>
      </c>
      <c r="I104">
        <v>4700</v>
      </c>
      <c r="J104" s="7">
        <f t="shared" si="4"/>
        <v>8.2547945205479447</v>
      </c>
      <c r="K104">
        <f t="shared" si="5"/>
        <v>26655.297046133423</v>
      </c>
      <c r="Q104" t="str">
        <f t="shared" si="6"/>
        <v>Cheaper in UK</v>
      </c>
    </row>
    <row r="105" spans="1:17" x14ac:dyDescent="0.3">
      <c r="A105" t="s">
        <v>4</v>
      </c>
      <c r="B105">
        <v>69</v>
      </c>
      <c r="C105" t="s">
        <v>1</v>
      </c>
      <c r="D105">
        <v>3684</v>
      </c>
      <c r="E105">
        <v>107304</v>
      </c>
      <c r="F105">
        <v>1</v>
      </c>
      <c r="G105" s="4" t="s">
        <v>209</v>
      </c>
      <c r="H105" s="4" t="s">
        <v>210</v>
      </c>
      <c r="I105">
        <v>4700</v>
      </c>
      <c r="J105" s="7">
        <f t="shared" si="4"/>
        <v>10.093150684931507</v>
      </c>
      <c r="K105">
        <f t="shared" si="5"/>
        <v>10631.368078175896</v>
      </c>
      <c r="Q105" t="str">
        <f t="shared" si="6"/>
        <v>Cheaper in UK</v>
      </c>
    </row>
    <row r="106" spans="1:17" x14ac:dyDescent="0.3">
      <c r="A106" t="s">
        <v>0</v>
      </c>
      <c r="B106">
        <v>69</v>
      </c>
      <c r="C106" t="s">
        <v>1</v>
      </c>
      <c r="D106">
        <v>4443</v>
      </c>
      <c r="E106">
        <v>110000</v>
      </c>
      <c r="F106">
        <v>2</v>
      </c>
      <c r="G106" s="4" t="s">
        <v>211</v>
      </c>
      <c r="H106" s="4" t="s">
        <v>212</v>
      </c>
      <c r="I106">
        <v>4700</v>
      </c>
      <c r="J106" s="7">
        <f t="shared" si="4"/>
        <v>12.172602739726027</v>
      </c>
      <c r="K106">
        <f t="shared" si="5"/>
        <v>9036.6869232500558</v>
      </c>
      <c r="Q106" t="str">
        <f t="shared" si="6"/>
        <v>Cheaper in UK</v>
      </c>
    </row>
    <row r="107" spans="1:17" x14ac:dyDescent="0.3">
      <c r="A107" t="s">
        <v>4</v>
      </c>
      <c r="B107">
        <v>69</v>
      </c>
      <c r="C107" t="s">
        <v>1</v>
      </c>
      <c r="D107">
        <v>4261</v>
      </c>
      <c r="E107">
        <v>153584</v>
      </c>
      <c r="F107">
        <v>2</v>
      </c>
      <c r="G107" s="5" t="s">
        <v>480</v>
      </c>
      <c r="H107" s="4" t="s">
        <v>213</v>
      </c>
      <c r="I107">
        <v>4750</v>
      </c>
      <c r="J107" s="7">
        <f t="shared" si="4"/>
        <v>11.673972602739726</v>
      </c>
      <c r="K107">
        <f t="shared" si="5"/>
        <v>13156.10420089181</v>
      </c>
      <c r="Q107" t="str">
        <f t="shared" si="6"/>
        <v>Cheaper in UK</v>
      </c>
    </row>
    <row r="108" spans="1:17" x14ac:dyDescent="0.3">
      <c r="A108" t="s">
        <v>10</v>
      </c>
      <c r="B108">
        <v>69</v>
      </c>
      <c r="C108" t="s">
        <v>1</v>
      </c>
      <c r="D108">
        <v>3712</v>
      </c>
      <c r="E108">
        <v>124490</v>
      </c>
      <c r="F108">
        <v>2</v>
      </c>
      <c r="G108" s="4" t="s">
        <v>13</v>
      </c>
      <c r="H108" s="4" t="s">
        <v>14</v>
      </c>
      <c r="I108">
        <v>4790</v>
      </c>
      <c r="J108" s="7">
        <f t="shared" si="4"/>
        <v>10.169863013698631</v>
      </c>
      <c r="K108">
        <f t="shared" si="5"/>
        <v>12241.069504310344</v>
      </c>
      <c r="Q108" t="str">
        <f t="shared" si="6"/>
        <v>Cheaper in UK</v>
      </c>
    </row>
    <row r="109" spans="1:17" x14ac:dyDescent="0.3">
      <c r="A109" t="s">
        <v>0</v>
      </c>
      <c r="B109">
        <v>69</v>
      </c>
      <c r="C109" t="s">
        <v>1</v>
      </c>
      <c r="D109">
        <v>4292</v>
      </c>
      <c r="E109">
        <v>178000</v>
      </c>
      <c r="F109">
        <v>1</v>
      </c>
      <c r="G109" s="4" t="s">
        <v>214</v>
      </c>
      <c r="H109" s="4" t="s">
        <v>215</v>
      </c>
      <c r="I109">
        <v>4800</v>
      </c>
      <c r="J109" s="7">
        <f t="shared" si="4"/>
        <v>11.758904109589041</v>
      </c>
      <c r="K109">
        <f t="shared" si="5"/>
        <v>15137.465051258154</v>
      </c>
      <c r="Q109" t="str">
        <f t="shared" si="6"/>
        <v>Cheaper in UK</v>
      </c>
    </row>
    <row r="110" spans="1:17" x14ac:dyDescent="0.3">
      <c r="A110" t="s">
        <v>10</v>
      </c>
      <c r="B110">
        <v>69</v>
      </c>
      <c r="C110" t="s">
        <v>1</v>
      </c>
      <c r="D110">
        <v>4443</v>
      </c>
      <c r="E110">
        <v>126500</v>
      </c>
      <c r="F110">
        <v>1</v>
      </c>
      <c r="G110" s="4" t="s">
        <v>216</v>
      </c>
      <c r="H110" s="4" t="s">
        <v>217</v>
      </c>
      <c r="I110">
        <v>4800</v>
      </c>
      <c r="J110" s="7">
        <f t="shared" si="4"/>
        <v>12.172602739726027</v>
      </c>
      <c r="K110">
        <f t="shared" si="5"/>
        <v>10392.189961737564</v>
      </c>
      <c r="Q110" t="str">
        <f t="shared" si="6"/>
        <v>Cheaper in UK</v>
      </c>
    </row>
    <row r="111" spans="1:17" x14ac:dyDescent="0.3">
      <c r="A111" t="s">
        <v>0</v>
      </c>
      <c r="B111">
        <v>99</v>
      </c>
      <c r="C111" t="s">
        <v>1</v>
      </c>
      <c r="D111">
        <v>3439</v>
      </c>
      <c r="E111">
        <v>150000</v>
      </c>
      <c r="F111">
        <v>2</v>
      </c>
      <c r="G111" s="4" t="s">
        <v>218</v>
      </c>
      <c r="H111" s="4" t="s">
        <v>219</v>
      </c>
      <c r="I111">
        <v>4800</v>
      </c>
      <c r="J111" s="7">
        <f t="shared" si="4"/>
        <v>9.4219178082191775</v>
      </c>
      <c r="K111">
        <f t="shared" si="5"/>
        <v>15920.325676068625</v>
      </c>
      <c r="Q111" t="str">
        <f t="shared" si="6"/>
        <v>Cheaper in UK</v>
      </c>
    </row>
    <row r="112" spans="1:17" x14ac:dyDescent="0.3">
      <c r="A112" t="s">
        <v>4</v>
      </c>
      <c r="B112">
        <v>99</v>
      </c>
      <c r="C112" t="s">
        <v>1</v>
      </c>
      <c r="D112">
        <v>4535</v>
      </c>
      <c r="E112">
        <v>120000</v>
      </c>
      <c r="F112">
        <v>2</v>
      </c>
      <c r="G112" s="5" t="s">
        <v>468</v>
      </c>
      <c r="H112" s="4" t="s">
        <v>115</v>
      </c>
      <c r="I112">
        <v>4800</v>
      </c>
      <c r="J112" s="7">
        <f t="shared" si="4"/>
        <v>12.424657534246576</v>
      </c>
      <c r="K112">
        <f t="shared" si="5"/>
        <v>9658.2138919514873</v>
      </c>
      <c r="Q112" t="str">
        <f t="shared" si="6"/>
        <v>Cheaper in UK</v>
      </c>
    </row>
    <row r="113" spans="1:17" x14ac:dyDescent="0.3">
      <c r="A113" t="s">
        <v>0</v>
      </c>
      <c r="B113">
        <v>69</v>
      </c>
      <c r="C113" t="s">
        <v>1</v>
      </c>
      <c r="D113">
        <v>3409</v>
      </c>
      <c r="E113">
        <v>120000</v>
      </c>
      <c r="F113">
        <v>2</v>
      </c>
      <c r="G113" s="4" t="s">
        <v>220</v>
      </c>
      <c r="H113" s="4" t="s">
        <v>221</v>
      </c>
      <c r="I113">
        <v>4800</v>
      </c>
      <c r="J113" s="7">
        <f t="shared" si="4"/>
        <v>9.3397260273972602</v>
      </c>
      <c r="K113">
        <f t="shared" si="5"/>
        <v>12848.342622469932</v>
      </c>
      <c r="Q113" t="str">
        <f t="shared" si="6"/>
        <v>Cheaper in UK</v>
      </c>
    </row>
    <row r="114" spans="1:17" x14ac:dyDescent="0.3">
      <c r="A114" t="s">
        <v>4</v>
      </c>
      <c r="B114">
        <v>69</v>
      </c>
      <c r="C114" t="s">
        <v>1</v>
      </c>
      <c r="D114">
        <v>4322</v>
      </c>
      <c r="E114">
        <v>137000</v>
      </c>
      <c r="F114">
        <v>1</v>
      </c>
      <c r="G114" s="4" t="s">
        <v>222</v>
      </c>
      <c r="H114" s="4" t="s">
        <v>223</v>
      </c>
      <c r="I114">
        <v>4800</v>
      </c>
      <c r="J114" s="7">
        <f t="shared" si="4"/>
        <v>11.841095890410958</v>
      </c>
      <c r="K114">
        <f t="shared" si="5"/>
        <v>11569.875057843592</v>
      </c>
      <c r="Q114" t="str">
        <f t="shared" si="6"/>
        <v>Cheaper in UK</v>
      </c>
    </row>
    <row r="115" spans="1:17" x14ac:dyDescent="0.3">
      <c r="A115" t="s">
        <v>4</v>
      </c>
      <c r="B115">
        <v>69</v>
      </c>
      <c r="C115" t="s">
        <v>7</v>
      </c>
      <c r="D115">
        <v>3653</v>
      </c>
      <c r="E115">
        <v>112100</v>
      </c>
      <c r="F115">
        <v>1</v>
      </c>
      <c r="G115" s="4" t="s">
        <v>224</v>
      </c>
      <c r="H115" s="4" t="s">
        <v>225</v>
      </c>
      <c r="I115">
        <v>4850</v>
      </c>
      <c r="J115" s="7">
        <f t="shared" si="4"/>
        <v>10.008219178082191</v>
      </c>
      <c r="K115">
        <f t="shared" si="5"/>
        <v>11200.793868053655</v>
      </c>
      <c r="Q115" t="str">
        <f t="shared" si="6"/>
        <v>More Expensive</v>
      </c>
    </row>
    <row r="116" spans="1:17" x14ac:dyDescent="0.3">
      <c r="A116" t="s">
        <v>0</v>
      </c>
      <c r="B116">
        <v>69</v>
      </c>
      <c r="C116" t="s">
        <v>1</v>
      </c>
      <c r="D116">
        <v>4353</v>
      </c>
      <c r="E116">
        <v>137500</v>
      </c>
      <c r="F116">
        <v>2</v>
      </c>
      <c r="G116" s="5" t="s">
        <v>481</v>
      </c>
      <c r="H116" s="4" t="s">
        <v>226</v>
      </c>
      <c r="I116">
        <v>4890</v>
      </c>
      <c r="J116" s="7">
        <f t="shared" si="4"/>
        <v>11.926027397260274</v>
      </c>
      <c r="K116">
        <f t="shared" si="5"/>
        <v>11529.405008040432</v>
      </c>
      <c r="Q116" t="str">
        <f t="shared" si="6"/>
        <v>Cheaper in UK</v>
      </c>
    </row>
    <row r="117" spans="1:17" x14ac:dyDescent="0.3">
      <c r="A117" t="s">
        <v>4</v>
      </c>
      <c r="B117">
        <v>69</v>
      </c>
      <c r="C117" t="s">
        <v>1</v>
      </c>
      <c r="D117">
        <v>3684</v>
      </c>
      <c r="E117">
        <v>91000</v>
      </c>
      <c r="F117">
        <v>1</v>
      </c>
      <c r="G117" s="4" t="s">
        <v>434</v>
      </c>
      <c r="H117" s="4" t="s">
        <v>15</v>
      </c>
      <c r="I117">
        <v>4900</v>
      </c>
      <c r="J117" s="7">
        <f t="shared" si="4"/>
        <v>10.093150684931507</v>
      </c>
      <c r="K117">
        <f t="shared" si="5"/>
        <v>9016.0152008686218</v>
      </c>
      <c r="Q117" t="str">
        <f t="shared" si="6"/>
        <v>Cheaper in UK</v>
      </c>
    </row>
    <row r="118" spans="1:17" x14ac:dyDescent="0.3">
      <c r="A118" t="s">
        <v>4</v>
      </c>
      <c r="B118">
        <v>69</v>
      </c>
      <c r="C118" t="s">
        <v>7</v>
      </c>
      <c r="D118">
        <v>3804</v>
      </c>
      <c r="E118">
        <v>154000</v>
      </c>
      <c r="F118">
        <v>2</v>
      </c>
      <c r="G118" s="4" t="s">
        <v>227</v>
      </c>
      <c r="H118" s="4" t="s">
        <v>228</v>
      </c>
      <c r="I118">
        <v>4900</v>
      </c>
      <c r="J118" s="7">
        <f t="shared" si="4"/>
        <v>10.421917808219177</v>
      </c>
      <c r="K118">
        <f t="shared" si="5"/>
        <v>14776.550998948476</v>
      </c>
      <c r="Q118" t="str">
        <f t="shared" si="6"/>
        <v>More Expensive</v>
      </c>
    </row>
    <row r="119" spans="1:17" x14ac:dyDescent="0.3">
      <c r="A119" t="s">
        <v>4</v>
      </c>
      <c r="B119">
        <v>69</v>
      </c>
      <c r="C119" t="s">
        <v>1</v>
      </c>
      <c r="D119">
        <v>4383</v>
      </c>
      <c r="E119">
        <v>134114</v>
      </c>
      <c r="F119">
        <v>2</v>
      </c>
      <c r="G119" s="4" t="s">
        <v>229</v>
      </c>
      <c r="H119" s="4" t="s">
        <v>230</v>
      </c>
      <c r="I119">
        <v>4900</v>
      </c>
      <c r="J119" s="7">
        <f t="shared" si="4"/>
        <v>12.008219178082191</v>
      </c>
      <c r="K119">
        <f t="shared" si="5"/>
        <v>11168.516997490304</v>
      </c>
      <c r="Q119" t="str">
        <f t="shared" si="6"/>
        <v>Cheaper in UK</v>
      </c>
    </row>
    <row r="120" spans="1:17" x14ac:dyDescent="0.3">
      <c r="A120" t="s">
        <v>10</v>
      </c>
      <c r="B120">
        <v>69</v>
      </c>
      <c r="C120" t="s">
        <v>1</v>
      </c>
      <c r="D120">
        <v>4322</v>
      </c>
      <c r="E120">
        <v>120000</v>
      </c>
      <c r="F120">
        <v>1</v>
      </c>
      <c r="G120" s="4" t="s">
        <v>231</v>
      </c>
      <c r="H120" s="4" t="s">
        <v>232</v>
      </c>
      <c r="I120">
        <v>4900</v>
      </c>
      <c r="J120" s="7">
        <f t="shared" si="4"/>
        <v>11.841095890410958</v>
      </c>
      <c r="K120">
        <f t="shared" si="5"/>
        <v>10134.197130957889</v>
      </c>
      <c r="Q120" t="str">
        <f t="shared" si="6"/>
        <v>Cheaper in UK</v>
      </c>
    </row>
    <row r="121" spans="1:17" x14ac:dyDescent="0.3">
      <c r="A121" t="s">
        <v>4</v>
      </c>
      <c r="B121">
        <v>69</v>
      </c>
      <c r="C121" t="s">
        <v>1</v>
      </c>
      <c r="D121">
        <v>3988</v>
      </c>
      <c r="E121">
        <v>115557</v>
      </c>
      <c r="F121">
        <v>2</v>
      </c>
      <c r="G121" s="4" t="s">
        <v>11</v>
      </c>
      <c r="H121" s="4" t="s">
        <v>12</v>
      </c>
      <c r="I121">
        <v>4900</v>
      </c>
      <c r="J121" s="7">
        <f t="shared" si="4"/>
        <v>10.926027397260274</v>
      </c>
      <c r="K121">
        <f t="shared" si="5"/>
        <v>10576.305165496489</v>
      </c>
      <c r="Q121" t="str">
        <f t="shared" si="6"/>
        <v>Cheaper in UK</v>
      </c>
    </row>
    <row r="122" spans="1:17" x14ac:dyDescent="0.3">
      <c r="A122" t="s">
        <v>0</v>
      </c>
      <c r="B122">
        <v>69</v>
      </c>
      <c r="C122" t="s">
        <v>1</v>
      </c>
      <c r="D122">
        <v>4474</v>
      </c>
      <c r="E122">
        <v>114000</v>
      </c>
      <c r="F122">
        <v>2</v>
      </c>
      <c r="G122" s="4" t="s">
        <v>233</v>
      </c>
      <c r="H122" s="4" t="s">
        <v>234</v>
      </c>
      <c r="I122">
        <v>4900</v>
      </c>
      <c r="J122" s="7">
        <f t="shared" si="4"/>
        <v>12.257534246575343</v>
      </c>
      <c r="K122">
        <f t="shared" si="5"/>
        <v>9300.4023245417975</v>
      </c>
      <c r="Q122" t="str">
        <f t="shared" si="6"/>
        <v>Cheaper in UK</v>
      </c>
    </row>
    <row r="123" spans="1:17" x14ac:dyDescent="0.3">
      <c r="A123" t="s">
        <v>4</v>
      </c>
      <c r="B123">
        <v>99</v>
      </c>
      <c r="C123" t="s">
        <v>1</v>
      </c>
      <c r="D123">
        <v>4322</v>
      </c>
      <c r="E123">
        <v>187160</v>
      </c>
      <c r="F123">
        <v>1</v>
      </c>
      <c r="G123" s="4" t="s">
        <v>235</v>
      </c>
      <c r="H123" s="4" t="s">
        <v>236</v>
      </c>
      <c r="I123">
        <v>4900</v>
      </c>
      <c r="J123" s="7">
        <f t="shared" si="4"/>
        <v>11.841095890410958</v>
      </c>
      <c r="K123">
        <f t="shared" si="5"/>
        <v>15805.96945858399</v>
      </c>
      <c r="Q123" t="str">
        <f t="shared" si="6"/>
        <v>Cheaper in UK</v>
      </c>
    </row>
    <row r="124" spans="1:17" x14ac:dyDescent="0.3">
      <c r="A124" t="s">
        <v>10</v>
      </c>
      <c r="B124">
        <v>99</v>
      </c>
      <c r="C124" t="s">
        <v>1</v>
      </c>
      <c r="D124">
        <v>4443</v>
      </c>
      <c r="E124">
        <v>90000</v>
      </c>
      <c r="F124">
        <v>1</v>
      </c>
      <c r="G124" s="4" t="s">
        <v>237</v>
      </c>
      <c r="H124" s="4" t="s">
        <v>238</v>
      </c>
      <c r="I124">
        <v>4900</v>
      </c>
      <c r="J124" s="7">
        <f t="shared" si="4"/>
        <v>12.172602739726027</v>
      </c>
      <c r="K124">
        <f t="shared" si="5"/>
        <v>7393.6529372045916</v>
      </c>
      <c r="Q124" t="str">
        <f t="shared" si="6"/>
        <v>Cheaper in UK</v>
      </c>
    </row>
    <row r="125" spans="1:17" x14ac:dyDescent="0.3">
      <c r="A125" t="s">
        <v>4</v>
      </c>
      <c r="B125">
        <v>69</v>
      </c>
      <c r="C125" t="s">
        <v>1</v>
      </c>
      <c r="D125">
        <v>3835</v>
      </c>
      <c r="E125">
        <v>97350</v>
      </c>
      <c r="F125">
        <v>2</v>
      </c>
      <c r="G125" s="4" t="s">
        <v>239</v>
      </c>
      <c r="H125" s="4" t="s">
        <v>240</v>
      </c>
      <c r="I125">
        <v>4900</v>
      </c>
      <c r="J125" s="7">
        <f t="shared" si="4"/>
        <v>10.506849315068493</v>
      </c>
      <c r="K125">
        <f t="shared" si="5"/>
        <v>9265.3846153846152</v>
      </c>
      <c r="Q125" t="str">
        <f t="shared" si="6"/>
        <v>Cheaper in UK</v>
      </c>
    </row>
    <row r="126" spans="1:17" x14ac:dyDescent="0.3">
      <c r="A126" t="s">
        <v>4</v>
      </c>
      <c r="B126">
        <v>69</v>
      </c>
      <c r="C126" t="s">
        <v>1</v>
      </c>
      <c r="D126">
        <v>3258</v>
      </c>
      <c r="E126">
        <v>120000</v>
      </c>
      <c r="F126">
        <v>1</v>
      </c>
      <c r="G126" s="4" t="s">
        <v>35</v>
      </c>
      <c r="H126" s="4" t="s">
        <v>36</v>
      </c>
      <c r="I126">
        <v>4900</v>
      </c>
      <c r="J126" s="7">
        <f t="shared" si="4"/>
        <v>8.9260273972602739</v>
      </c>
      <c r="K126">
        <f t="shared" si="5"/>
        <v>13443.830570902393</v>
      </c>
      <c r="Q126" t="str">
        <f t="shared" si="6"/>
        <v>Cheaper in UK</v>
      </c>
    </row>
    <row r="127" spans="1:17" x14ac:dyDescent="0.3">
      <c r="A127" t="s">
        <v>0</v>
      </c>
      <c r="B127">
        <v>69</v>
      </c>
      <c r="C127" t="s">
        <v>1</v>
      </c>
      <c r="D127">
        <v>3684</v>
      </c>
      <c r="E127">
        <v>116000</v>
      </c>
      <c r="F127">
        <v>2</v>
      </c>
      <c r="G127" s="4" t="s">
        <v>241</v>
      </c>
      <c r="H127" s="4" t="s">
        <v>242</v>
      </c>
      <c r="I127">
        <v>4900</v>
      </c>
      <c r="J127" s="7">
        <f t="shared" si="4"/>
        <v>10.093150684931507</v>
      </c>
      <c r="K127">
        <f t="shared" si="5"/>
        <v>11492.942453854506</v>
      </c>
      <c r="Q127" t="str">
        <f t="shared" si="6"/>
        <v>Cheaper in UK</v>
      </c>
    </row>
    <row r="128" spans="1:17" x14ac:dyDescent="0.3">
      <c r="A128" t="s">
        <v>0</v>
      </c>
      <c r="B128">
        <v>69</v>
      </c>
      <c r="C128" t="s">
        <v>1</v>
      </c>
      <c r="D128">
        <v>4566</v>
      </c>
      <c r="E128">
        <v>110969</v>
      </c>
      <c r="F128">
        <v>2</v>
      </c>
      <c r="G128" s="4" t="s">
        <v>233</v>
      </c>
      <c r="H128" s="4" t="s">
        <v>234</v>
      </c>
      <c r="I128">
        <v>4900</v>
      </c>
      <c r="J128" s="7">
        <f t="shared" si="4"/>
        <v>12.509589041095891</v>
      </c>
      <c r="K128">
        <f t="shared" si="5"/>
        <v>8870.715067893123</v>
      </c>
      <c r="Q128" t="str">
        <f t="shared" si="6"/>
        <v>Cheaper in UK</v>
      </c>
    </row>
    <row r="129" spans="1:17" x14ac:dyDescent="0.3">
      <c r="A129" t="s">
        <v>4</v>
      </c>
      <c r="B129">
        <v>69</v>
      </c>
      <c r="C129" t="s">
        <v>1</v>
      </c>
      <c r="D129">
        <v>3227</v>
      </c>
      <c r="E129">
        <v>142000</v>
      </c>
      <c r="F129">
        <v>2</v>
      </c>
      <c r="G129" s="5" t="s">
        <v>472</v>
      </c>
      <c r="H129" s="4" t="s">
        <v>137</v>
      </c>
      <c r="I129">
        <v>4900</v>
      </c>
      <c r="J129" s="7">
        <f t="shared" si="4"/>
        <v>8.8410958904109584</v>
      </c>
      <c r="K129">
        <f t="shared" si="5"/>
        <v>16061.357297799816</v>
      </c>
      <c r="Q129" t="str">
        <f t="shared" si="6"/>
        <v>Cheaper in UK</v>
      </c>
    </row>
    <row r="130" spans="1:17" x14ac:dyDescent="0.3">
      <c r="A130" t="s">
        <v>4</v>
      </c>
      <c r="B130">
        <v>69</v>
      </c>
      <c r="C130" t="s">
        <v>1</v>
      </c>
      <c r="D130">
        <v>4169</v>
      </c>
      <c r="E130">
        <v>81900</v>
      </c>
      <c r="F130">
        <v>2</v>
      </c>
      <c r="G130" s="4" t="s">
        <v>243</v>
      </c>
      <c r="H130" s="4" t="s">
        <v>244</v>
      </c>
      <c r="I130">
        <v>4900</v>
      </c>
      <c r="J130" s="7">
        <f t="shared" si="4"/>
        <v>11.421917808219177</v>
      </c>
      <c r="K130">
        <f t="shared" si="5"/>
        <v>7170.4245622451435</v>
      </c>
      <c r="Q130" t="str">
        <f t="shared" si="6"/>
        <v>Cheaper in UK</v>
      </c>
    </row>
    <row r="131" spans="1:17" x14ac:dyDescent="0.3">
      <c r="A131" t="s">
        <v>0</v>
      </c>
      <c r="B131">
        <v>69</v>
      </c>
      <c r="C131" t="s">
        <v>1</v>
      </c>
      <c r="D131">
        <v>4596</v>
      </c>
      <c r="E131">
        <v>88000</v>
      </c>
      <c r="F131">
        <v>2</v>
      </c>
      <c r="G131" s="4" t="s">
        <v>245</v>
      </c>
      <c r="H131" s="4" t="s">
        <v>246</v>
      </c>
      <c r="I131">
        <v>4900</v>
      </c>
      <c r="J131" s="7">
        <f t="shared" ref="J131:J194" si="7">D131/365</f>
        <v>12.591780821917808</v>
      </c>
      <c r="K131">
        <f t="shared" ref="K131:K194" si="8">E131/J131</f>
        <v>6988.6858137510881</v>
      </c>
      <c r="Q131" t="str">
        <f t="shared" ref="Q131:Q194" si="9">IF(C131 = "manual", "Cheaper in UK","More Expensive")</f>
        <v>Cheaper in UK</v>
      </c>
    </row>
    <row r="132" spans="1:17" x14ac:dyDescent="0.3">
      <c r="A132" t="s">
        <v>0</v>
      </c>
      <c r="B132">
        <v>69</v>
      </c>
      <c r="C132" t="s">
        <v>1</v>
      </c>
      <c r="D132">
        <v>3896</v>
      </c>
      <c r="E132">
        <v>60000</v>
      </c>
      <c r="F132">
        <v>1</v>
      </c>
      <c r="G132" s="4" t="s">
        <v>247</v>
      </c>
      <c r="H132" s="4" t="s">
        <v>248</v>
      </c>
      <c r="I132">
        <v>4900</v>
      </c>
      <c r="J132" s="7">
        <f t="shared" si="7"/>
        <v>10.673972602739726</v>
      </c>
      <c r="K132">
        <f t="shared" si="8"/>
        <v>5621.1498973305961</v>
      </c>
      <c r="Q132" t="str">
        <f t="shared" si="9"/>
        <v>Cheaper in UK</v>
      </c>
    </row>
    <row r="133" spans="1:17" x14ac:dyDescent="0.3">
      <c r="A133" t="s">
        <v>4</v>
      </c>
      <c r="B133">
        <v>69</v>
      </c>
      <c r="C133" t="s">
        <v>1</v>
      </c>
      <c r="D133">
        <v>3197</v>
      </c>
      <c r="E133">
        <v>139000</v>
      </c>
      <c r="F133">
        <v>1</v>
      </c>
      <c r="G133" s="4" t="s">
        <v>22</v>
      </c>
      <c r="H133" s="4" t="s">
        <v>23</v>
      </c>
      <c r="I133">
        <v>4900</v>
      </c>
      <c r="J133" s="7">
        <f t="shared" si="7"/>
        <v>8.7589041095890412</v>
      </c>
      <c r="K133">
        <f t="shared" si="8"/>
        <v>15869.565217391304</v>
      </c>
      <c r="Q133" t="str">
        <f t="shared" si="9"/>
        <v>Cheaper in UK</v>
      </c>
    </row>
    <row r="134" spans="1:17" x14ac:dyDescent="0.3">
      <c r="A134" t="s">
        <v>10</v>
      </c>
      <c r="B134">
        <v>101</v>
      </c>
      <c r="C134" t="s">
        <v>1</v>
      </c>
      <c r="D134">
        <v>4596</v>
      </c>
      <c r="E134">
        <v>97000</v>
      </c>
      <c r="F134">
        <v>1</v>
      </c>
      <c r="G134" s="4" t="s">
        <v>249</v>
      </c>
      <c r="H134" s="4" t="s">
        <v>250</v>
      </c>
      <c r="I134">
        <v>4900</v>
      </c>
      <c r="J134" s="7">
        <f t="shared" si="7"/>
        <v>12.591780821917808</v>
      </c>
      <c r="K134">
        <f t="shared" si="8"/>
        <v>7703.4377719756312</v>
      </c>
      <c r="Q134" t="str">
        <f t="shared" si="9"/>
        <v>Cheaper in UK</v>
      </c>
    </row>
    <row r="135" spans="1:17" x14ac:dyDescent="0.3">
      <c r="A135" t="s">
        <v>4</v>
      </c>
      <c r="B135">
        <v>69</v>
      </c>
      <c r="C135" t="s">
        <v>1</v>
      </c>
      <c r="D135">
        <v>4018</v>
      </c>
      <c r="E135">
        <v>80000</v>
      </c>
      <c r="F135">
        <v>2</v>
      </c>
      <c r="G135" s="4" t="s">
        <v>251</v>
      </c>
      <c r="H135" s="4" t="s">
        <v>252</v>
      </c>
      <c r="I135">
        <v>4900</v>
      </c>
      <c r="J135" s="7">
        <f t="shared" si="7"/>
        <v>11.008219178082191</v>
      </c>
      <c r="K135">
        <f t="shared" si="8"/>
        <v>7267.2971627675461</v>
      </c>
      <c r="Q135" t="str">
        <f t="shared" si="9"/>
        <v>Cheaper in UK</v>
      </c>
    </row>
    <row r="136" spans="1:17" x14ac:dyDescent="0.3">
      <c r="A136" t="s">
        <v>4</v>
      </c>
      <c r="B136">
        <v>84</v>
      </c>
      <c r="C136" t="s">
        <v>1</v>
      </c>
      <c r="D136">
        <v>3347</v>
      </c>
      <c r="E136">
        <v>123000</v>
      </c>
      <c r="F136">
        <v>1</v>
      </c>
      <c r="G136" s="4" t="s">
        <v>22</v>
      </c>
      <c r="H136" s="4" t="s">
        <v>23</v>
      </c>
      <c r="I136">
        <v>4900</v>
      </c>
      <c r="J136" s="7">
        <f t="shared" si="7"/>
        <v>9.169863013698631</v>
      </c>
      <c r="K136">
        <f t="shared" si="8"/>
        <v>13413.504631012845</v>
      </c>
      <c r="Q136" t="str">
        <f t="shared" si="9"/>
        <v>Cheaper in UK</v>
      </c>
    </row>
    <row r="137" spans="1:17" x14ac:dyDescent="0.3">
      <c r="A137" t="s">
        <v>10</v>
      </c>
      <c r="B137">
        <v>69</v>
      </c>
      <c r="C137" t="s">
        <v>1</v>
      </c>
      <c r="D137">
        <v>3684</v>
      </c>
      <c r="E137">
        <v>160000</v>
      </c>
      <c r="F137">
        <v>2</v>
      </c>
      <c r="G137" s="4" t="s">
        <v>253</v>
      </c>
      <c r="H137" s="4" t="s">
        <v>254</v>
      </c>
      <c r="I137">
        <v>4900</v>
      </c>
      <c r="J137" s="7">
        <f t="shared" si="7"/>
        <v>10.093150684931507</v>
      </c>
      <c r="K137">
        <f t="shared" si="8"/>
        <v>15852.334419109664</v>
      </c>
      <c r="Q137" t="str">
        <f t="shared" si="9"/>
        <v>Cheaper in UK</v>
      </c>
    </row>
    <row r="138" spans="1:17" x14ac:dyDescent="0.3">
      <c r="A138" t="s">
        <v>10</v>
      </c>
      <c r="B138">
        <v>101</v>
      </c>
      <c r="C138" t="s">
        <v>1</v>
      </c>
      <c r="D138">
        <v>3896</v>
      </c>
      <c r="E138">
        <v>157000</v>
      </c>
      <c r="F138">
        <v>2</v>
      </c>
      <c r="G138" s="4" t="s">
        <v>146</v>
      </c>
      <c r="H138" s="4" t="s">
        <v>147</v>
      </c>
      <c r="I138">
        <v>4900</v>
      </c>
      <c r="J138" s="7">
        <f t="shared" si="7"/>
        <v>10.673972602739726</v>
      </c>
      <c r="K138">
        <f t="shared" si="8"/>
        <v>14708.675564681726</v>
      </c>
      <c r="Q138" t="str">
        <f t="shared" si="9"/>
        <v>Cheaper in UK</v>
      </c>
    </row>
    <row r="139" spans="1:17" x14ac:dyDescent="0.3">
      <c r="A139" t="s">
        <v>4</v>
      </c>
      <c r="B139">
        <v>69</v>
      </c>
      <c r="C139" t="s">
        <v>1</v>
      </c>
      <c r="D139">
        <v>3562</v>
      </c>
      <c r="E139">
        <v>125551</v>
      </c>
      <c r="F139">
        <v>2</v>
      </c>
      <c r="G139" s="4" t="s">
        <v>255</v>
      </c>
      <c r="H139" s="4" t="s">
        <v>256</v>
      </c>
      <c r="I139">
        <v>4900</v>
      </c>
      <c r="J139" s="7">
        <f t="shared" si="7"/>
        <v>9.7589041095890412</v>
      </c>
      <c r="K139">
        <f t="shared" si="8"/>
        <v>12865.276530039304</v>
      </c>
      <c r="Q139" t="str">
        <f t="shared" si="9"/>
        <v>Cheaper in UK</v>
      </c>
    </row>
    <row r="140" spans="1:17" x14ac:dyDescent="0.3">
      <c r="A140" t="s">
        <v>4</v>
      </c>
      <c r="B140">
        <v>69</v>
      </c>
      <c r="C140" t="s">
        <v>1</v>
      </c>
      <c r="D140">
        <v>4505</v>
      </c>
      <c r="E140">
        <v>81000</v>
      </c>
      <c r="F140">
        <v>1</v>
      </c>
      <c r="G140" s="4" t="s">
        <v>22</v>
      </c>
      <c r="H140" s="4" t="s">
        <v>23</v>
      </c>
      <c r="I140">
        <v>4900</v>
      </c>
      <c r="J140" s="7">
        <f t="shared" si="7"/>
        <v>12.342465753424657</v>
      </c>
      <c r="K140">
        <f t="shared" si="8"/>
        <v>6562.7081021087688</v>
      </c>
      <c r="Q140" t="str">
        <f t="shared" si="9"/>
        <v>Cheaper in UK</v>
      </c>
    </row>
    <row r="141" spans="1:17" x14ac:dyDescent="0.3">
      <c r="A141" t="s">
        <v>4</v>
      </c>
      <c r="B141">
        <v>69</v>
      </c>
      <c r="C141" t="s">
        <v>1</v>
      </c>
      <c r="D141">
        <v>4139</v>
      </c>
      <c r="E141">
        <v>114000</v>
      </c>
      <c r="F141">
        <v>1</v>
      </c>
      <c r="G141" s="4" t="s">
        <v>257</v>
      </c>
      <c r="H141" s="4" t="s">
        <v>258</v>
      </c>
      <c r="I141">
        <v>4900</v>
      </c>
      <c r="J141" s="7">
        <f t="shared" si="7"/>
        <v>11.33972602739726</v>
      </c>
      <c r="K141">
        <f t="shared" si="8"/>
        <v>10053.152935491664</v>
      </c>
      <c r="Q141" t="str">
        <f t="shared" si="9"/>
        <v>Cheaper in UK</v>
      </c>
    </row>
    <row r="142" spans="1:17" x14ac:dyDescent="0.3">
      <c r="A142" t="s">
        <v>0</v>
      </c>
      <c r="B142">
        <v>69</v>
      </c>
      <c r="C142" t="s">
        <v>1</v>
      </c>
      <c r="D142">
        <v>4049</v>
      </c>
      <c r="E142">
        <v>163000</v>
      </c>
      <c r="F142">
        <v>1</v>
      </c>
      <c r="G142" s="4" t="s">
        <v>259</v>
      </c>
      <c r="H142" s="5" t="s">
        <v>456</v>
      </c>
      <c r="I142">
        <v>4900</v>
      </c>
      <c r="J142" s="7">
        <f t="shared" si="7"/>
        <v>11.093150684931507</v>
      </c>
      <c r="K142">
        <f t="shared" si="8"/>
        <v>14693.75154359101</v>
      </c>
      <c r="Q142" t="str">
        <f t="shared" si="9"/>
        <v>Cheaper in UK</v>
      </c>
    </row>
    <row r="143" spans="1:17" x14ac:dyDescent="0.3">
      <c r="A143" t="s">
        <v>0</v>
      </c>
      <c r="B143">
        <v>69</v>
      </c>
      <c r="C143" t="s">
        <v>1</v>
      </c>
      <c r="D143">
        <v>3623</v>
      </c>
      <c r="E143">
        <v>136000</v>
      </c>
      <c r="F143">
        <v>2</v>
      </c>
      <c r="G143" s="4" t="s">
        <v>260</v>
      </c>
      <c r="H143" s="4" t="s">
        <v>261</v>
      </c>
      <c r="I143">
        <v>4900</v>
      </c>
      <c r="J143" s="7">
        <f t="shared" si="7"/>
        <v>9.9260273972602739</v>
      </c>
      <c r="K143">
        <f t="shared" si="8"/>
        <v>13701.352470328457</v>
      </c>
      <c r="Q143" t="str">
        <f t="shared" si="9"/>
        <v>Cheaper in UK</v>
      </c>
    </row>
    <row r="144" spans="1:17" x14ac:dyDescent="0.3">
      <c r="A144" t="s">
        <v>4</v>
      </c>
      <c r="B144">
        <v>69</v>
      </c>
      <c r="C144" t="s">
        <v>1</v>
      </c>
      <c r="D144">
        <v>4474</v>
      </c>
      <c r="E144">
        <v>130000</v>
      </c>
      <c r="F144">
        <v>2</v>
      </c>
      <c r="G144" s="4" t="s">
        <v>262</v>
      </c>
      <c r="H144" s="4" t="s">
        <v>263</v>
      </c>
      <c r="I144">
        <v>4900</v>
      </c>
      <c r="J144" s="7">
        <f t="shared" si="7"/>
        <v>12.257534246575343</v>
      </c>
      <c r="K144">
        <f t="shared" si="8"/>
        <v>10605.721949038891</v>
      </c>
      <c r="Q144" t="str">
        <f t="shared" si="9"/>
        <v>Cheaper in UK</v>
      </c>
    </row>
    <row r="145" spans="1:17" x14ac:dyDescent="0.3">
      <c r="A145" t="s">
        <v>0</v>
      </c>
      <c r="B145">
        <v>69</v>
      </c>
      <c r="C145" t="s">
        <v>1</v>
      </c>
      <c r="D145">
        <v>4322</v>
      </c>
      <c r="E145">
        <v>132848</v>
      </c>
      <c r="F145">
        <v>2</v>
      </c>
      <c r="G145" s="4" t="s">
        <v>264</v>
      </c>
      <c r="H145" s="4" t="s">
        <v>265</v>
      </c>
      <c r="I145">
        <v>4900</v>
      </c>
      <c r="J145" s="7">
        <f t="shared" si="7"/>
        <v>11.841095890410958</v>
      </c>
      <c r="K145">
        <f t="shared" si="8"/>
        <v>11219.231837112447</v>
      </c>
      <c r="Q145" t="str">
        <f t="shared" si="9"/>
        <v>Cheaper in UK</v>
      </c>
    </row>
    <row r="146" spans="1:17" x14ac:dyDescent="0.3">
      <c r="A146" t="s">
        <v>4</v>
      </c>
      <c r="B146">
        <v>69</v>
      </c>
      <c r="C146" t="s">
        <v>1</v>
      </c>
      <c r="D146">
        <v>4474</v>
      </c>
      <c r="E146">
        <v>89000</v>
      </c>
      <c r="F146">
        <v>2</v>
      </c>
      <c r="G146" s="4" t="s">
        <v>266</v>
      </c>
      <c r="H146" s="4" t="s">
        <v>267</v>
      </c>
      <c r="I146">
        <v>4900</v>
      </c>
      <c r="J146" s="7">
        <f t="shared" si="7"/>
        <v>12.257534246575343</v>
      </c>
      <c r="K146">
        <f t="shared" si="8"/>
        <v>7260.8404112650869</v>
      </c>
      <c r="Q146" t="str">
        <f t="shared" si="9"/>
        <v>Cheaper in UK</v>
      </c>
    </row>
    <row r="147" spans="1:17" x14ac:dyDescent="0.3">
      <c r="A147" t="s">
        <v>4</v>
      </c>
      <c r="B147">
        <v>99</v>
      </c>
      <c r="C147" t="s">
        <v>1</v>
      </c>
      <c r="D147">
        <v>4018</v>
      </c>
      <c r="E147">
        <v>126000</v>
      </c>
      <c r="F147">
        <v>1</v>
      </c>
      <c r="G147" s="4" t="s">
        <v>268</v>
      </c>
      <c r="H147" s="4" t="s">
        <v>269</v>
      </c>
      <c r="I147">
        <v>4900</v>
      </c>
      <c r="J147" s="7">
        <f t="shared" si="7"/>
        <v>11.008219178082191</v>
      </c>
      <c r="K147">
        <f t="shared" si="8"/>
        <v>11445.993031358885</v>
      </c>
      <c r="Q147" t="str">
        <f t="shared" si="9"/>
        <v>Cheaper in UK</v>
      </c>
    </row>
    <row r="148" spans="1:17" x14ac:dyDescent="0.3">
      <c r="A148" t="s">
        <v>0</v>
      </c>
      <c r="B148">
        <v>69</v>
      </c>
      <c r="C148" t="s">
        <v>1</v>
      </c>
      <c r="D148">
        <v>4566</v>
      </c>
      <c r="E148">
        <v>140000</v>
      </c>
      <c r="F148">
        <v>1</v>
      </c>
      <c r="G148" s="4" t="s">
        <v>270</v>
      </c>
      <c r="H148" s="4" t="s">
        <v>271</v>
      </c>
      <c r="I148">
        <v>4900</v>
      </c>
      <c r="J148" s="7">
        <f t="shared" si="7"/>
        <v>12.509589041095891</v>
      </c>
      <c r="K148">
        <f t="shared" si="8"/>
        <v>11191.414805081033</v>
      </c>
      <c r="Q148" t="str">
        <f t="shared" si="9"/>
        <v>Cheaper in UK</v>
      </c>
    </row>
    <row r="149" spans="1:17" x14ac:dyDescent="0.3">
      <c r="A149" t="s">
        <v>4</v>
      </c>
      <c r="B149">
        <v>69</v>
      </c>
      <c r="C149" t="s">
        <v>1</v>
      </c>
      <c r="D149">
        <v>3957</v>
      </c>
      <c r="E149">
        <v>111000</v>
      </c>
      <c r="F149">
        <v>2</v>
      </c>
      <c r="G149" s="4" t="s">
        <v>272</v>
      </c>
      <c r="H149" s="4" t="s">
        <v>273</v>
      </c>
      <c r="I149">
        <v>4900</v>
      </c>
      <c r="J149" s="7">
        <f t="shared" si="7"/>
        <v>10.841095890410958</v>
      </c>
      <c r="K149">
        <f t="shared" si="8"/>
        <v>10238.817285822593</v>
      </c>
      <c r="Q149" t="str">
        <f t="shared" si="9"/>
        <v>Cheaper in UK</v>
      </c>
    </row>
    <row r="150" spans="1:17" x14ac:dyDescent="0.3">
      <c r="A150" t="s">
        <v>4</v>
      </c>
      <c r="B150">
        <v>69</v>
      </c>
      <c r="C150" t="s">
        <v>1</v>
      </c>
      <c r="D150">
        <v>4139</v>
      </c>
      <c r="E150">
        <v>114000</v>
      </c>
      <c r="F150">
        <v>1</v>
      </c>
      <c r="G150" s="4" t="s">
        <v>257</v>
      </c>
      <c r="H150" s="4" t="s">
        <v>258</v>
      </c>
      <c r="I150">
        <v>4900</v>
      </c>
      <c r="J150" s="7">
        <f t="shared" si="7"/>
        <v>11.33972602739726</v>
      </c>
      <c r="K150">
        <f t="shared" si="8"/>
        <v>10053.152935491664</v>
      </c>
      <c r="Q150" t="str">
        <f t="shared" si="9"/>
        <v>Cheaper in UK</v>
      </c>
    </row>
    <row r="151" spans="1:17" x14ac:dyDescent="0.3">
      <c r="A151" t="s">
        <v>0</v>
      </c>
      <c r="B151">
        <v>69</v>
      </c>
      <c r="C151" t="s">
        <v>1</v>
      </c>
      <c r="D151">
        <v>4049</v>
      </c>
      <c r="E151">
        <v>163000</v>
      </c>
      <c r="F151">
        <v>1</v>
      </c>
      <c r="G151" s="4" t="s">
        <v>259</v>
      </c>
      <c r="H151" s="5" t="s">
        <v>456</v>
      </c>
      <c r="I151">
        <v>4900</v>
      </c>
      <c r="J151" s="7">
        <f t="shared" si="7"/>
        <v>11.093150684931507</v>
      </c>
      <c r="K151">
        <f t="shared" si="8"/>
        <v>14693.75154359101</v>
      </c>
      <c r="Q151" t="str">
        <f t="shared" si="9"/>
        <v>Cheaper in UK</v>
      </c>
    </row>
    <row r="152" spans="1:17" x14ac:dyDescent="0.3">
      <c r="A152" t="s">
        <v>0</v>
      </c>
      <c r="B152">
        <v>69</v>
      </c>
      <c r="C152" t="s">
        <v>1</v>
      </c>
      <c r="D152">
        <v>3623</v>
      </c>
      <c r="E152">
        <v>136000</v>
      </c>
      <c r="F152">
        <v>2</v>
      </c>
      <c r="G152" s="4" t="s">
        <v>260</v>
      </c>
      <c r="H152" s="4" t="s">
        <v>261</v>
      </c>
      <c r="I152">
        <v>4900</v>
      </c>
      <c r="J152" s="7">
        <f t="shared" si="7"/>
        <v>9.9260273972602739</v>
      </c>
      <c r="K152">
        <f t="shared" si="8"/>
        <v>13701.352470328457</v>
      </c>
      <c r="Q152" t="str">
        <f t="shared" si="9"/>
        <v>Cheaper in UK</v>
      </c>
    </row>
    <row r="153" spans="1:17" x14ac:dyDescent="0.3">
      <c r="A153" t="s">
        <v>4</v>
      </c>
      <c r="B153">
        <v>69</v>
      </c>
      <c r="C153" t="s">
        <v>1</v>
      </c>
      <c r="D153">
        <v>4474</v>
      </c>
      <c r="E153">
        <v>130000</v>
      </c>
      <c r="F153">
        <v>2</v>
      </c>
      <c r="G153" s="4" t="s">
        <v>262</v>
      </c>
      <c r="H153" s="4" t="s">
        <v>263</v>
      </c>
      <c r="I153">
        <v>4900</v>
      </c>
      <c r="J153" s="7">
        <f t="shared" si="7"/>
        <v>12.257534246575343</v>
      </c>
      <c r="K153">
        <f t="shared" si="8"/>
        <v>10605.721949038891</v>
      </c>
      <c r="Q153" t="str">
        <f t="shared" si="9"/>
        <v>Cheaper in UK</v>
      </c>
    </row>
    <row r="154" spans="1:17" x14ac:dyDescent="0.3">
      <c r="A154" t="s">
        <v>0</v>
      </c>
      <c r="B154">
        <v>69</v>
      </c>
      <c r="C154" t="s">
        <v>1</v>
      </c>
      <c r="D154">
        <v>4322</v>
      </c>
      <c r="E154">
        <v>132848</v>
      </c>
      <c r="F154">
        <v>2</v>
      </c>
      <c r="G154" s="4" t="s">
        <v>264</v>
      </c>
      <c r="H154" s="4" t="s">
        <v>265</v>
      </c>
      <c r="I154">
        <v>4900</v>
      </c>
      <c r="J154" s="7">
        <f t="shared" si="7"/>
        <v>11.841095890410958</v>
      </c>
      <c r="K154">
        <f t="shared" si="8"/>
        <v>11219.231837112447</v>
      </c>
      <c r="Q154" t="str">
        <f t="shared" si="9"/>
        <v>Cheaper in UK</v>
      </c>
    </row>
    <row r="155" spans="1:17" x14ac:dyDescent="0.3">
      <c r="A155" t="s">
        <v>4</v>
      </c>
      <c r="B155">
        <v>69</v>
      </c>
      <c r="C155" t="s">
        <v>1</v>
      </c>
      <c r="D155">
        <v>4474</v>
      </c>
      <c r="E155">
        <v>89000</v>
      </c>
      <c r="F155">
        <v>2</v>
      </c>
      <c r="G155" s="4" t="s">
        <v>266</v>
      </c>
      <c r="H155" s="4" t="s">
        <v>267</v>
      </c>
      <c r="I155">
        <v>4900</v>
      </c>
      <c r="J155" s="7">
        <f t="shared" si="7"/>
        <v>12.257534246575343</v>
      </c>
      <c r="K155">
        <f t="shared" si="8"/>
        <v>7260.8404112650869</v>
      </c>
      <c r="Q155" t="str">
        <f t="shared" si="9"/>
        <v>Cheaper in UK</v>
      </c>
    </row>
    <row r="156" spans="1:17" x14ac:dyDescent="0.3">
      <c r="A156" t="s">
        <v>4</v>
      </c>
      <c r="B156">
        <v>99</v>
      </c>
      <c r="C156" t="s">
        <v>1</v>
      </c>
      <c r="D156">
        <v>4018</v>
      </c>
      <c r="E156">
        <v>126000</v>
      </c>
      <c r="F156">
        <v>1</v>
      </c>
      <c r="G156" s="4" t="s">
        <v>268</v>
      </c>
      <c r="H156" s="4" t="s">
        <v>269</v>
      </c>
      <c r="I156">
        <v>4900</v>
      </c>
      <c r="J156" s="7">
        <f t="shared" si="7"/>
        <v>11.008219178082191</v>
      </c>
      <c r="K156">
        <f t="shared" si="8"/>
        <v>11445.993031358885</v>
      </c>
      <c r="Q156" t="str">
        <f t="shared" si="9"/>
        <v>Cheaper in UK</v>
      </c>
    </row>
    <row r="157" spans="1:17" x14ac:dyDescent="0.3">
      <c r="A157" t="s">
        <v>0</v>
      </c>
      <c r="B157">
        <v>69</v>
      </c>
      <c r="C157" t="s">
        <v>1</v>
      </c>
      <c r="D157">
        <v>4566</v>
      </c>
      <c r="E157">
        <v>140000</v>
      </c>
      <c r="F157">
        <v>1</v>
      </c>
      <c r="G157" s="4" t="s">
        <v>270</v>
      </c>
      <c r="H157" s="4" t="s">
        <v>271</v>
      </c>
      <c r="I157">
        <v>4900</v>
      </c>
      <c r="J157" s="7">
        <f t="shared" si="7"/>
        <v>12.509589041095891</v>
      </c>
      <c r="K157">
        <f t="shared" si="8"/>
        <v>11191.414805081033</v>
      </c>
      <c r="Q157" t="str">
        <f t="shared" si="9"/>
        <v>Cheaper in UK</v>
      </c>
    </row>
    <row r="158" spans="1:17" x14ac:dyDescent="0.3">
      <c r="A158" t="s">
        <v>4</v>
      </c>
      <c r="B158">
        <v>69</v>
      </c>
      <c r="C158" t="s">
        <v>1</v>
      </c>
      <c r="D158">
        <v>3957</v>
      </c>
      <c r="E158">
        <v>111000</v>
      </c>
      <c r="F158">
        <v>2</v>
      </c>
      <c r="G158" s="4" t="s">
        <v>272</v>
      </c>
      <c r="H158" s="4" t="s">
        <v>273</v>
      </c>
      <c r="I158">
        <v>4900</v>
      </c>
      <c r="J158" s="7">
        <f t="shared" si="7"/>
        <v>10.841095890410958</v>
      </c>
      <c r="K158">
        <f t="shared" si="8"/>
        <v>10238.817285822593</v>
      </c>
      <c r="Q158" t="str">
        <f t="shared" si="9"/>
        <v>Cheaper in UK</v>
      </c>
    </row>
    <row r="159" spans="1:17" x14ac:dyDescent="0.3">
      <c r="A159" t="s">
        <v>0</v>
      </c>
      <c r="B159">
        <v>69</v>
      </c>
      <c r="C159" t="s">
        <v>1</v>
      </c>
      <c r="D159">
        <v>4322</v>
      </c>
      <c r="E159">
        <v>132850</v>
      </c>
      <c r="F159">
        <v>1</v>
      </c>
      <c r="G159" s="4" t="s">
        <v>274</v>
      </c>
      <c r="H159" s="4" t="s">
        <v>275</v>
      </c>
      <c r="I159">
        <v>4900</v>
      </c>
      <c r="J159" s="7">
        <f t="shared" si="7"/>
        <v>11.841095890410958</v>
      </c>
      <c r="K159">
        <f t="shared" si="8"/>
        <v>11219.400740397965</v>
      </c>
      <c r="Q159" t="str">
        <f t="shared" si="9"/>
        <v>Cheaper in UK</v>
      </c>
    </row>
    <row r="160" spans="1:17" x14ac:dyDescent="0.3">
      <c r="A160" t="s">
        <v>0</v>
      </c>
      <c r="B160">
        <v>69</v>
      </c>
      <c r="C160" t="s">
        <v>1</v>
      </c>
      <c r="D160">
        <v>3957</v>
      </c>
      <c r="E160">
        <v>148700</v>
      </c>
      <c r="F160">
        <v>2</v>
      </c>
      <c r="G160" s="4" t="s">
        <v>276</v>
      </c>
      <c r="H160" s="4" t="s">
        <v>277</v>
      </c>
      <c r="I160">
        <v>4900</v>
      </c>
      <c r="J160" s="7">
        <f t="shared" si="7"/>
        <v>10.841095890410958</v>
      </c>
      <c r="K160">
        <f t="shared" si="8"/>
        <v>13716.325499115492</v>
      </c>
      <c r="Q160" t="str">
        <f t="shared" si="9"/>
        <v>Cheaper in UK</v>
      </c>
    </row>
    <row r="161" spans="1:17" x14ac:dyDescent="0.3">
      <c r="A161" t="s">
        <v>0</v>
      </c>
      <c r="B161">
        <v>69</v>
      </c>
      <c r="C161" t="s">
        <v>1</v>
      </c>
      <c r="D161">
        <v>3957</v>
      </c>
      <c r="E161">
        <v>148700</v>
      </c>
      <c r="F161">
        <v>2</v>
      </c>
      <c r="G161" s="4" t="s">
        <v>278</v>
      </c>
      <c r="H161" s="4" t="s">
        <v>279</v>
      </c>
      <c r="I161">
        <v>4900</v>
      </c>
      <c r="J161" s="7">
        <f t="shared" si="7"/>
        <v>10.841095890410958</v>
      </c>
      <c r="K161">
        <f t="shared" si="8"/>
        <v>13716.325499115492</v>
      </c>
      <c r="Q161" t="str">
        <f t="shared" si="9"/>
        <v>Cheaper in UK</v>
      </c>
    </row>
    <row r="162" spans="1:17" x14ac:dyDescent="0.3">
      <c r="A162" t="s">
        <v>0</v>
      </c>
      <c r="B162">
        <v>69</v>
      </c>
      <c r="C162" t="s">
        <v>1</v>
      </c>
      <c r="D162">
        <v>3957</v>
      </c>
      <c r="E162">
        <v>148700</v>
      </c>
      <c r="F162">
        <v>2</v>
      </c>
      <c r="G162" s="4" t="s">
        <v>278</v>
      </c>
      <c r="H162" s="4" t="s">
        <v>279</v>
      </c>
      <c r="I162">
        <v>4900</v>
      </c>
      <c r="J162" s="7">
        <f t="shared" si="7"/>
        <v>10.841095890410958</v>
      </c>
      <c r="K162">
        <f t="shared" si="8"/>
        <v>13716.325499115492</v>
      </c>
      <c r="Q162" t="str">
        <f t="shared" si="9"/>
        <v>Cheaper in UK</v>
      </c>
    </row>
    <row r="163" spans="1:17" x14ac:dyDescent="0.3">
      <c r="A163" t="s">
        <v>0</v>
      </c>
      <c r="B163">
        <v>84</v>
      </c>
      <c r="C163" t="s">
        <v>1</v>
      </c>
      <c r="D163">
        <v>3013</v>
      </c>
      <c r="E163">
        <v>120000</v>
      </c>
      <c r="F163">
        <v>1</v>
      </c>
      <c r="G163" s="4" t="s">
        <v>5</v>
      </c>
      <c r="H163" s="4" t="s">
        <v>6</v>
      </c>
      <c r="I163">
        <v>4900</v>
      </c>
      <c r="J163" s="7">
        <f t="shared" si="7"/>
        <v>8.2547945205479447</v>
      </c>
      <c r="K163">
        <f t="shared" si="8"/>
        <v>14537.006306007303</v>
      </c>
      <c r="Q163" t="str">
        <f t="shared" si="9"/>
        <v>Cheaper in UK</v>
      </c>
    </row>
    <row r="164" spans="1:17" x14ac:dyDescent="0.3">
      <c r="A164" t="s">
        <v>0</v>
      </c>
      <c r="B164">
        <v>69</v>
      </c>
      <c r="C164" t="s">
        <v>1</v>
      </c>
      <c r="D164">
        <v>4077</v>
      </c>
      <c r="E164">
        <v>125000</v>
      </c>
      <c r="F164">
        <v>2</v>
      </c>
      <c r="G164" s="4" t="s">
        <v>280</v>
      </c>
      <c r="H164" s="4" t="s">
        <v>281</v>
      </c>
      <c r="I164">
        <v>4900</v>
      </c>
      <c r="J164" s="7">
        <f t="shared" si="7"/>
        <v>11.169863013698631</v>
      </c>
      <c r="K164">
        <f t="shared" si="8"/>
        <v>11190.826588177581</v>
      </c>
      <c r="Q164" t="str">
        <f t="shared" si="9"/>
        <v>Cheaper in UK</v>
      </c>
    </row>
    <row r="165" spans="1:17" x14ac:dyDescent="0.3">
      <c r="A165" t="s">
        <v>4</v>
      </c>
      <c r="B165">
        <v>99</v>
      </c>
      <c r="C165" t="s">
        <v>1</v>
      </c>
      <c r="D165">
        <v>3865</v>
      </c>
      <c r="E165">
        <v>96000</v>
      </c>
      <c r="F165">
        <v>2</v>
      </c>
      <c r="G165" s="4" t="s">
        <v>282</v>
      </c>
      <c r="H165" s="4" t="s">
        <v>283</v>
      </c>
      <c r="I165">
        <v>4900</v>
      </c>
      <c r="J165" s="7">
        <f t="shared" si="7"/>
        <v>10.58904109589041</v>
      </c>
      <c r="K165">
        <f t="shared" si="8"/>
        <v>9065.976714100907</v>
      </c>
      <c r="Q165" t="str">
        <f t="shared" si="9"/>
        <v>Cheaper in UK</v>
      </c>
    </row>
    <row r="166" spans="1:17" x14ac:dyDescent="0.3">
      <c r="A166" t="s">
        <v>0</v>
      </c>
      <c r="B166">
        <v>69</v>
      </c>
      <c r="C166" t="s">
        <v>1</v>
      </c>
      <c r="D166">
        <v>4169</v>
      </c>
      <c r="E166">
        <v>100000</v>
      </c>
      <c r="F166">
        <v>2</v>
      </c>
      <c r="G166" s="4" t="s">
        <v>284</v>
      </c>
      <c r="H166" s="4" t="s">
        <v>285</v>
      </c>
      <c r="I166">
        <v>4900</v>
      </c>
      <c r="J166" s="7">
        <f t="shared" si="7"/>
        <v>11.421917808219177</v>
      </c>
      <c r="K166">
        <f t="shared" si="8"/>
        <v>8755.0971455984654</v>
      </c>
      <c r="Q166" t="str">
        <f t="shared" si="9"/>
        <v>Cheaper in UK</v>
      </c>
    </row>
    <row r="167" spans="1:17" x14ac:dyDescent="0.3">
      <c r="A167" t="s">
        <v>0</v>
      </c>
      <c r="B167">
        <v>69</v>
      </c>
      <c r="C167" t="s">
        <v>1</v>
      </c>
      <c r="D167">
        <v>3743</v>
      </c>
      <c r="E167">
        <v>128963</v>
      </c>
      <c r="F167">
        <v>2</v>
      </c>
      <c r="G167" s="5" t="s">
        <v>482</v>
      </c>
      <c r="H167" s="4" t="s">
        <v>286</v>
      </c>
      <c r="I167">
        <v>4900</v>
      </c>
      <c r="J167" s="7">
        <f t="shared" si="7"/>
        <v>10.254794520547945</v>
      </c>
      <c r="K167">
        <f t="shared" si="8"/>
        <v>12575.873630777452</v>
      </c>
      <c r="Q167" t="str">
        <f t="shared" si="9"/>
        <v>Cheaper in UK</v>
      </c>
    </row>
    <row r="168" spans="1:17" x14ac:dyDescent="0.3">
      <c r="A168" t="s">
        <v>4</v>
      </c>
      <c r="B168">
        <v>69</v>
      </c>
      <c r="C168" t="s">
        <v>1</v>
      </c>
      <c r="D168">
        <v>3774</v>
      </c>
      <c r="E168">
        <v>115000</v>
      </c>
      <c r="F168">
        <v>2</v>
      </c>
      <c r="G168" s="5" t="s">
        <v>468</v>
      </c>
      <c r="H168" s="4" t="s">
        <v>115</v>
      </c>
      <c r="I168">
        <v>4900</v>
      </c>
      <c r="J168" s="7">
        <f t="shared" si="7"/>
        <v>10.33972602739726</v>
      </c>
      <c r="K168">
        <f t="shared" si="8"/>
        <v>11122.151563328034</v>
      </c>
      <c r="Q168" t="str">
        <f t="shared" si="9"/>
        <v>Cheaper in UK</v>
      </c>
    </row>
    <row r="169" spans="1:17" x14ac:dyDescent="0.3">
      <c r="A169" t="s">
        <v>0</v>
      </c>
      <c r="B169">
        <v>69</v>
      </c>
      <c r="C169" t="s">
        <v>1</v>
      </c>
      <c r="D169">
        <v>4535</v>
      </c>
      <c r="E169">
        <v>101256</v>
      </c>
      <c r="F169">
        <v>2</v>
      </c>
      <c r="G169" s="4" t="s">
        <v>287</v>
      </c>
      <c r="H169" s="4" t="s">
        <v>288</v>
      </c>
      <c r="I169">
        <v>4900</v>
      </c>
      <c r="J169" s="7">
        <f t="shared" si="7"/>
        <v>12.424657534246576</v>
      </c>
      <c r="K169">
        <f t="shared" si="8"/>
        <v>8149.6008820286661</v>
      </c>
      <c r="Q169" t="str">
        <f t="shared" si="9"/>
        <v>Cheaper in UK</v>
      </c>
    </row>
    <row r="170" spans="1:17" x14ac:dyDescent="0.3">
      <c r="A170" t="s">
        <v>4</v>
      </c>
      <c r="B170">
        <v>69</v>
      </c>
      <c r="C170" t="s">
        <v>7</v>
      </c>
      <c r="D170">
        <v>4353</v>
      </c>
      <c r="E170">
        <v>90068</v>
      </c>
      <c r="F170">
        <v>1</v>
      </c>
      <c r="G170" s="4" t="s">
        <v>16</v>
      </c>
      <c r="H170" s="4" t="s">
        <v>17</v>
      </c>
      <c r="I170">
        <v>4950</v>
      </c>
      <c r="J170" s="7">
        <f t="shared" si="7"/>
        <v>11.926027397260274</v>
      </c>
      <c r="K170">
        <f t="shared" si="8"/>
        <v>7552.2214564668047</v>
      </c>
      <c r="Q170" t="str">
        <f t="shared" si="9"/>
        <v>More Expensive</v>
      </c>
    </row>
    <row r="171" spans="1:17" x14ac:dyDescent="0.3">
      <c r="A171" t="s">
        <v>4</v>
      </c>
      <c r="B171">
        <v>69</v>
      </c>
      <c r="C171" t="s">
        <v>1</v>
      </c>
      <c r="D171">
        <v>3653</v>
      </c>
      <c r="E171">
        <v>85000</v>
      </c>
      <c r="F171">
        <v>1</v>
      </c>
      <c r="G171" s="4" t="s">
        <v>186</v>
      </c>
      <c r="H171" s="4" t="s">
        <v>187</v>
      </c>
      <c r="I171">
        <v>4990</v>
      </c>
      <c r="J171" s="7">
        <f t="shared" si="7"/>
        <v>10.008219178082191</v>
      </c>
      <c r="K171">
        <f t="shared" si="8"/>
        <v>8493.0194360799342</v>
      </c>
      <c r="Q171" t="str">
        <f t="shared" si="9"/>
        <v>Cheaper in UK</v>
      </c>
    </row>
    <row r="172" spans="1:17" x14ac:dyDescent="0.3">
      <c r="A172" t="s">
        <v>0</v>
      </c>
      <c r="B172">
        <v>69</v>
      </c>
      <c r="C172" t="s">
        <v>1</v>
      </c>
      <c r="D172">
        <v>3896</v>
      </c>
      <c r="E172">
        <v>88296</v>
      </c>
      <c r="F172">
        <v>1</v>
      </c>
      <c r="G172" s="4" t="s">
        <v>289</v>
      </c>
      <c r="H172" s="4" t="s">
        <v>290</v>
      </c>
      <c r="I172">
        <v>4990</v>
      </c>
      <c r="J172" s="7">
        <f t="shared" si="7"/>
        <v>10.673972602739726</v>
      </c>
      <c r="K172">
        <f t="shared" si="8"/>
        <v>8272.0841889117037</v>
      </c>
      <c r="Q172" t="str">
        <f t="shared" si="9"/>
        <v>Cheaper in UK</v>
      </c>
    </row>
    <row r="173" spans="1:17" x14ac:dyDescent="0.3">
      <c r="A173" t="s">
        <v>4</v>
      </c>
      <c r="B173">
        <v>69</v>
      </c>
      <c r="C173" t="s">
        <v>1</v>
      </c>
      <c r="D173">
        <v>3684</v>
      </c>
      <c r="E173">
        <v>119000</v>
      </c>
      <c r="F173">
        <v>1</v>
      </c>
      <c r="G173" s="4" t="s">
        <v>291</v>
      </c>
      <c r="H173" s="4" t="s">
        <v>292</v>
      </c>
      <c r="I173">
        <v>4990</v>
      </c>
      <c r="J173" s="7">
        <f t="shared" si="7"/>
        <v>10.093150684931507</v>
      </c>
      <c r="K173">
        <f t="shared" si="8"/>
        <v>11790.173724212813</v>
      </c>
      <c r="Q173" t="str">
        <f t="shared" si="9"/>
        <v>Cheaper in UK</v>
      </c>
    </row>
    <row r="174" spans="1:17" x14ac:dyDescent="0.3">
      <c r="A174" t="s">
        <v>4</v>
      </c>
      <c r="B174">
        <v>84</v>
      </c>
      <c r="C174" t="s">
        <v>1</v>
      </c>
      <c r="D174">
        <v>3470</v>
      </c>
      <c r="E174">
        <v>110000</v>
      </c>
      <c r="F174">
        <v>2</v>
      </c>
      <c r="G174" s="4" t="s">
        <v>53</v>
      </c>
      <c r="H174" s="4" t="s">
        <v>54</v>
      </c>
      <c r="I174">
        <v>4990</v>
      </c>
      <c r="J174" s="7">
        <f t="shared" si="7"/>
        <v>9.506849315068493</v>
      </c>
      <c r="K174">
        <f t="shared" si="8"/>
        <v>11570.605187319885</v>
      </c>
      <c r="Q174" t="str">
        <f t="shared" si="9"/>
        <v>Cheaper in UK</v>
      </c>
    </row>
    <row r="175" spans="1:17" x14ac:dyDescent="0.3">
      <c r="A175" t="s">
        <v>10</v>
      </c>
      <c r="B175">
        <v>101</v>
      </c>
      <c r="C175" t="s">
        <v>1</v>
      </c>
      <c r="D175">
        <v>3439</v>
      </c>
      <c r="E175">
        <v>147448</v>
      </c>
      <c r="F175">
        <v>2</v>
      </c>
      <c r="G175" s="4" t="s">
        <v>293</v>
      </c>
      <c r="H175" s="4" t="s">
        <v>294</v>
      </c>
      <c r="I175">
        <v>4990</v>
      </c>
      <c r="J175" s="7">
        <f t="shared" si="7"/>
        <v>9.4219178082191775</v>
      </c>
      <c r="K175">
        <f t="shared" si="8"/>
        <v>15649.467868566444</v>
      </c>
      <c r="Q175" t="str">
        <f t="shared" si="9"/>
        <v>Cheaper in UK</v>
      </c>
    </row>
    <row r="176" spans="1:17" x14ac:dyDescent="0.3">
      <c r="A176" t="s">
        <v>4</v>
      </c>
      <c r="B176">
        <v>69</v>
      </c>
      <c r="C176" t="s">
        <v>1</v>
      </c>
      <c r="D176">
        <v>3957</v>
      </c>
      <c r="E176">
        <v>136000</v>
      </c>
      <c r="F176">
        <v>1</v>
      </c>
      <c r="G176" s="4" t="s">
        <v>157</v>
      </c>
      <c r="H176" s="4" t="s">
        <v>158</v>
      </c>
      <c r="I176">
        <v>4990</v>
      </c>
      <c r="J176" s="7">
        <f t="shared" si="7"/>
        <v>10.841095890410958</v>
      </c>
      <c r="K176">
        <f t="shared" si="8"/>
        <v>12544.857215061917</v>
      </c>
      <c r="Q176" t="str">
        <f t="shared" si="9"/>
        <v>Cheaper in UK</v>
      </c>
    </row>
    <row r="177" spans="1:17" x14ac:dyDescent="0.3">
      <c r="A177" t="s">
        <v>10</v>
      </c>
      <c r="B177">
        <v>69</v>
      </c>
      <c r="C177" t="s">
        <v>1</v>
      </c>
      <c r="D177">
        <v>4596</v>
      </c>
      <c r="E177">
        <v>115000</v>
      </c>
      <c r="F177">
        <v>1</v>
      </c>
      <c r="G177" s="4" t="s">
        <v>295</v>
      </c>
      <c r="H177" s="4" t="s">
        <v>296</v>
      </c>
      <c r="I177">
        <v>4999</v>
      </c>
      <c r="J177" s="7">
        <f t="shared" si="7"/>
        <v>12.591780821917808</v>
      </c>
      <c r="K177">
        <f t="shared" si="8"/>
        <v>9132.9416884247166</v>
      </c>
      <c r="Q177" t="str">
        <f t="shared" si="9"/>
        <v>Cheaper in UK</v>
      </c>
    </row>
    <row r="178" spans="1:17" x14ac:dyDescent="0.3">
      <c r="A178" t="s">
        <v>0</v>
      </c>
      <c r="B178">
        <v>69</v>
      </c>
      <c r="C178" t="s">
        <v>1</v>
      </c>
      <c r="D178">
        <v>3988</v>
      </c>
      <c r="E178">
        <v>95000</v>
      </c>
      <c r="F178">
        <v>3</v>
      </c>
      <c r="G178" s="4" t="s">
        <v>297</v>
      </c>
      <c r="H178" s="4" t="s">
        <v>298</v>
      </c>
      <c r="I178">
        <v>4999</v>
      </c>
      <c r="J178" s="7">
        <f t="shared" si="7"/>
        <v>10.926027397260274</v>
      </c>
      <c r="K178">
        <f t="shared" si="8"/>
        <v>8694.8345035105322</v>
      </c>
      <c r="Q178" t="str">
        <f t="shared" si="9"/>
        <v>Cheaper in UK</v>
      </c>
    </row>
    <row r="179" spans="1:17" x14ac:dyDescent="0.3">
      <c r="A179" t="s">
        <v>4</v>
      </c>
      <c r="B179">
        <v>69</v>
      </c>
      <c r="C179" t="s">
        <v>1</v>
      </c>
      <c r="D179">
        <v>3592</v>
      </c>
      <c r="E179">
        <v>129000</v>
      </c>
      <c r="F179">
        <v>2</v>
      </c>
      <c r="G179" s="4" t="s">
        <v>11</v>
      </c>
      <c r="H179" s="4" t="s">
        <v>12</v>
      </c>
      <c r="I179">
        <v>4999</v>
      </c>
      <c r="J179" s="7">
        <f t="shared" si="7"/>
        <v>9.8410958904109584</v>
      </c>
      <c r="K179">
        <f t="shared" si="8"/>
        <v>13108.296213808464</v>
      </c>
      <c r="Q179" t="str">
        <f t="shared" si="9"/>
        <v>Cheaper in UK</v>
      </c>
    </row>
    <row r="180" spans="1:17" x14ac:dyDescent="0.3">
      <c r="A180" t="s">
        <v>4</v>
      </c>
      <c r="B180">
        <v>69</v>
      </c>
      <c r="C180" t="s">
        <v>1</v>
      </c>
      <c r="D180">
        <v>4200</v>
      </c>
      <c r="E180">
        <v>110000</v>
      </c>
      <c r="F180">
        <v>1</v>
      </c>
      <c r="G180" s="4" t="s">
        <v>11</v>
      </c>
      <c r="H180" s="4" t="s">
        <v>12</v>
      </c>
      <c r="I180">
        <v>4999</v>
      </c>
      <c r="J180" s="7">
        <f t="shared" si="7"/>
        <v>11.506849315068493</v>
      </c>
      <c r="K180">
        <f t="shared" si="8"/>
        <v>9559.5238095238092</v>
      </c>
      <c r="Q180" t="str">
        <f t="shared" si="9"/>
        <v>Cheaper in UK</v>
      </c>
    </row>
    <row r="181" spans="1:17" x14ac:dyDescent="0.3">
      <c r="A181" t="s">
        <v>10</v>
      </c>
      <c r="B181">
        <v>99</v>
      </c>
      <c r="C181" t="s">
        <v>1</v>
      </c>
      <c r="D181">
        <v>4414</v>
      </c>
      <c r="E181">
        <v>104269</v>
      </c>
      <c r="F181">
        <v>2</v>
      </c>
      <c r="G181" s="4" t="s">
        <v>299</v>
      </c>
      <c r="H181" s="4" t="s">
        <v>300</v>
      </c>
      <c r="I181">
        <v>4999</v>
      </c>
      <c r="J181" s="7">
        <f t="shared" si="7"/>
        <v>12.093150684931507</v>
      </c>
      <c r="K181">
        <f t="shared" si="8"/>
        <v>8622.1533756230183</v>
      </c>
      <c r="Q181" t="str">
        <f t="shared" si="9"/>
        <v>Cheaper in UK</v>
      </c>
    </row>
    <row r="182" spans="1:17" x14ac:dyDescent="0.3">
      <c r="A182" t="s">
        <v>4</v>
      </c>
      <c r="B182">
        <v>69</v>
      </c>
      <c r="C182" t="s">
        <v>1</v>
      </c>
      <c r="D182">
        <v>4292</v>
      </c>
      <c r="E182">
        <v>112400</v>
      </c>
      <c r="F182">
        <v>1</v>
      </c>
      <c r="G182" s="4" t="s">
        <v>301</v>
      </c>
      <c r="H182" s="4" t="s">
        <v>302</v>
      </c>
      <c r="I182">
        <v>5000</v>
      </c>
      <c r="J182" s="7">
        <f t="shared" si="7"/>
        <v>11.758904109589041</v>
      </c>
      <c r="K182">
        <f t="shared" si="8"/>
        <v>9558.7138863000928</v>
      </c>
      <c r="Q182" t="str">
        <f t="shared" si="9"/>
        <v>Cheaper in UK</v>
      </c>
    </row>
    <row r="183" spans="1:17" x14ac:dyDescent="0.3">
      <c r="A183" t="s">
        <v>4</v>
      </c>
      <c r="B183">
        <v>69</v>
      </c>
      <c r="C183" t="s">
        <v>1</v>
      </c>
      <c r="D183">
        <v>4292</v>
      </c>
      <c r="E183">
        <v>65000</v>
      </c>
      <c r="F183">
        <v>1</v>
      </c>
      <c r="G183" s="4" t="s">
        <v>303</v>
      </c>
      <c r="H183" s="4" t="s">
        <v>304</v>
      </c>
      <c r="I183">
        <v>5000</v>
      </c>
      <c r="J183" s="7">
        <f t="shared" si="7"/>
        <v>11.758904109589041</v>
      </c>
      <c r="K183">
        <f t="shared" si="8"/>
        <v>5527.7260018639327</v>
      </c>
      <c r="Q183" t="str">
        <f t="shared" si="9"/>
        <v>Cheaper in UK</v>
      </c>
    </row>
    <row r="184" spans="1:17" x14ac:dyDescent="0.3">
      <c r="A184" t="s">
        <v>10</v>
      </c>
      <c r="B184">
        <v>69</v>
      </c>
      <c r="C184" t="s">
        <v>1</v>
      </c>
      <c r="D184">
        <v>4474</v>
      </c>
      <c r="E184">
        <v>184000</v>
      </c>
      <c r="F184">
        <v>1</v>
      </c>
      <c r="G184" s="5" t="s">
        <v>483</v>
      </c>
      <c r="H184" s="4" t="s">
        <v>305</v>
      </c>
      <c r="I184">
        <v>5000</v>
      </c>
      <c r="J184" s="7">
        <f t="shared" si="7"/>
        <v>12.257534246575343</v>
      </c>
      <c r="K184">
        <f t="shared" si="8"/>
        <v>15011.175681716584</v>
      </c>
      <c r="Q184" t="str">
        <f t="shared" si="9"/>
        <v>Cheaper in UK</v>
      </c>
    </row>
    <row r="185" spans="1:17" x14ac:dyDescent="0.3">
      <c r="A185" t="s">
        <v>0</v>
      </c>
      <c r="B185">
        <v>69</v>
      </c>
      <c r="C185" t="s">
        <v>1</v>
      </c>
      <c r="D185">
        <v>3623</v>
      </c>
      <c r="E185">
        <v>119800</v>
      </c>
      <c r="F185">
        <v>2</v>
      </c>
      <c r="G185" s="4" t="s">
        <v>306</v>
      </c>
      <c r="H185" s="4" t="s">
        <v>307</v>
      </c>
      <c r="I185">
        <v>5000</v>
      </c>
      <c r="J185" s="7">
        <f t="shared" si="7"/>
        <v>9.9260273972602739</v>
      </c>
      <c r="K185">
        <f t="shared" si="8"/>
        <v>12069.279602539333</v>
      </c>
      <c r="Q185" t="str">
        <f t="shared" si="9"/>
        <v>Cheaper in UK</v>
      </c>
    </row>
    <row r="186" spans="1:17" x14ac:dyDescent="0.3">
      <c r="A186" t="s">
        <v>4</v>
      </c>
      <c r="B186">
        <v>69</v>
      </c>
      <c r="C186" t="s">
        <v>1</v>
      </c>
      <c r="D186">
        <v>4230</v>
      </c>
      <c r="E186">
        <v>124000</v>
      </c>
      <c r="F186">
        <v>2</v>
      </c>
      <c r="G186" s="4" t="s">
        <v>308</v>
      </c>
      <c r="H186" s="4" t="s">
        <v>309</v>
      </c>
      <c r="I186">
        <v>5000</v>
      </c>
      <c r="J186" s="7">
        <f t="shared" si="7"/>
        <v>11.58904109589041</v>
      </c>
      <c r="K186">
        <f t="shared" si="8"/>
        <v>10699.763593380616</v>
      </c>
      <c r="Q186" t="str">
        <f t="shared" si="9"/>
        <v>Cheaper in UK</v>
      </c>
    </row>
    <row r="187" spans="1:17" x14ac:dyDescent="0.3">
      <c r="A187" t="s">
        <v>0</v>
      </c>
      <c r="B187">
        <v>69</v>
      </c>
      <c r="C187" t="s">
        <v>1</v>
      </c>
      <c r="D187">
        <v>4474</v>
      </c>
      <c r="E187">
        <v>56000</v>
      </c>
      <c r="F187">
        <v>1</v>
      </c>
      <c r="G187" s="4" t="s">
        <v>310</v>
      </c>
      <c r="H187" s="5" t="s">
        <v>457</v>
      </c>
      <c r="I187">
        <v>5000</v>
      </c>
      <c r="J187" s="7">
        <f t="shared" si="7"/>
        <v>12.257534246575343</v>
      </c>
      <c r="K187">
        <f t="shared" si="8"/>
        <v>4568.6186857398297</v>
      </c>
      <c r="Q187" t="str">
        <f t="shared" si="9"/>
        <v>Cheaper in UK</v>
      </c>
    </row>
    <row r="188" spans="1:17" x14ac:dyDescent="0.3">
      <c r="A188" t="s">
        <v>0</v>
      </c>
      <c r="B188">
        <v>69</v>
      </c>
      <c r="C188" t="s">
        <v>1</v>
      </c>
      <c r="D188">
        <v>4261</v>
      </c>
      <c r="E188">
        <v>119000</v>
      </c>
      <c r="F188">
        <v>1</v>
      </c>
      <c r="G188" s="4" t="s">
        <v>311</v>
      </c>
      <c r="H188" s="5" t="s">
        <v>458</v>
      </c>
      <c r="I188">
        <v>5000</v>
      </c>
      <c r="J188" s="7">
        <f t="shared" si="7"/>
        <v>11.673972602739726</v>
      </c>
      <c r="K188">
        <f t="shared" si="8"/>
        <v>10193.616521943206</v>
      </c>
      <c r="Q188" t="str">
        <f t="shared" si="9"/>
        <v>Cheaper in UK</v>
      </c>
    </row>
    <row r="189" spans="1:17" x14ac:dyDescent="0.3">
      <c r="A189" t="s">
        <v>4</v>
      </c>
      <c r="B189">
        <v>69</v>
      </c>
      <c r="C189" t="s">
        <v>1</v>
      </c>
      <c r="D189">
        <v>4474</v>
      </c>
      <c r="E189">
        <v>113000</v>
      </c>
      <c r="F189">
        <v>1</v>
      </c>
      <c r="G189" s="4" t="s">
        <v>22</v>
      </c>
      <c r="H189" s="4" t="s">
        <v>23</v>
      </c>
      <c r="I189">
        <v>5000</v>
      </c>
      <c r="J189" s="7">
        <f t="shared" si="7"/>
        <v>12.257534246575343</v>
      </c>
      <c r="K189">
        <f t="shared" si="8"/>
        <v>9218.8198480107276</v>
      </c>
      <c r="Q189" t="str">
        <f t="shared" si="9"/>
        <v>Cheaper in UK</v>
      </c>
    </row>
    <row r="190" spans="1:17" x14ac:dyDescent="0.3">
      <c r="A190" t="s">
        <v>10</v>
      </c>
      <c r="B190">
        <v>69</v>
      </c>
      <c r="C190" t="s">
        <v>1</v>
      </c>
      <c r="D190">
        <v>4353</v>
      </c>
      <c r="E190">
        <v>132000</v>
      </c>
      <c r="F190">
        <v>2</v>
      </c>
      <c r="G190" s="5" t="s">
        <v>484</v>
      </c>
      <c r="H190" s="4" t="s">
        <v>312</v>
      </c>
      <c r="I190">
        <v>5000</v>
      </c>
      <c r="J190" s="7">
        <f t="shared" si="7"/>
        <v>11.926027397260274</v>
      </c>
      <c r="K190">
        <f t="shared" si="8"/>
        <v>11068.228807718815</v>
      </c>
      <c r="Q190" t="str">
        <f t="shared" si="9"/>
        <v>Cheaper in UK</v>
      </c>
    </row>
    <row r="191" spans="1:17" x14ac:dyDescent="0.3">
      <c r="A191" t="s">
        <v>10</v>
      </c>
      <c r="B191">
        <v>69</v>
      </c>
      <c r="C191" t="s">
        <v>1</v>
      </c>
      <c r="D191">
        <v>4658</v>
      </c>
      <c r="E191">
        <v>100000</v>
      </c>
      <c r="F191">
        <v>1</v>
      </c>
      <c r="G191" s="4" t="s">
        <v>270</v>
      </c>
      <c r="H191" s="4" t="s">
        <v>271</v>
      </c>
      <c r="I191">
        <v>5000</v>
      </c>
      <c r="J191" s="7">
        <f t="shared" si="7"/>
        <v>12.761643835616438</v>
      </c>
      <c r="K191">
        <f t="shared" si="8"/>
        <v>7835.9811077715758</v>
      </c>
      <c r="Q191" t="str">
        <f t="shared" si="9"/>
        <v>Cheaper in UK</v>
      </c>
    </row>
    <row r="192" spans="1:17" x14ac:dyDescent="0.3">
      <c r="A192" t="s">
        <v>4</v>
      </c>
      <c r="B192">
        <v>84</v>
      </c>
      <c r="C192" t="s">
        <v>1</v>
      </c>
      <c r="D192">
        <v>3319</v>
      </c>
      <c r="E192">
        <v>161000</v>
      </c>
      <c r="F192">
        <v>1</v>
      </c>
      <c r="G192" s="4" t="s">
        <v>313</v>
      </c>
      <c r="H192" s="4" t="s">
        <v>314</v>
      </c>
      <c r="I192">
        <v>5000</v>
      </c>
      <c r="J192" s="7">
        <f t="shared" si="7"/>
        <v>9.0931506849315067</v>
      </c>
      <c r="K192">
        <f t="shared" si="8"/>
        <v>17705.634227176863</v>
      </c>
      <c r="Q192" t="str">
        <f t="shared" si="9"/>
        <v>Cheaper in UK</v>
      </c>
    </row>
    <row r="193" spans="1:17" x14ac:dyDescent="0.3">
      <c r="A193" t="s">
        <v>4</v>
      </c>
      <c r="B193">
        <v>69</v>
      </c>
      <c r="C193" t="s">
        <v>7</v>
      </c>
      <c r="D193">
        <v>4108</v>
      </c>
      <c r="E193">
        <v>90000</v>
      </c>
      <c r="F193">
        <v>2</v>
      </c>
      <c r="G193" s="4" t="s">
        <v>295</v>
      </c>
      <c r="H193" s="4" t="s">
        <v>296</v>
      </c>
      <c r="I193">
        <v>5000</v>
      </c>
      <c r="J193" s="7">
        <f t="shared" si="7"/>
        <v>11.254794520547945</v>
      </c>
      <c r="K193">
        <f t="shared" si="8"/>
        <v>7996.5920155793574</v>
      </c>
      <c r="Q193" t="str">
        <f t="shared" si="9"/>
        <v>More Expensive</v>
      </c>
    </row>
    <row r="194" spans="1:17" x14ac:dyDescent="0.3">
      <c r="A194" t="s">
        <v>4</v>
      </c>
      <c r="B194">
        <v>69</v>
      </c>
      <c r="C194" t="s">
        <v>1</v>
      </c>
      <c r="D194">
        <v>4049</v>
      </c>
      <c r="E194">
        <v>130000</v>
      </c>
      <c r="F194">
        <v>3</v>
      </c>
      <c r="G194" s="4" t="s">
        <v>287</v>
      </c>
      <c r="H194" s="4" t="s">
        <v>288</v>
      </c>
      <c r="I194">
        <v>5000</v>
      </c>
      <c r="J194" s="7">
        <f t="shared" si="7"/>
        <v>11.093150684931507</v>
      </c>
      <c r="K194">
        <f t="shared" si="8"/>
        <v>11718.942948876265</v>
      </c>
      <c r="Q194" t="str">
        <f t="shared" si="9"/>
        <v>Cheaper in UK</v>
      </c>
    </row>
    <row r="195" spans="1:17" x14ac:dyDescent="0.3">
      <c r="A195" t="s">
        <v>4</v>
      </c>
      <c r="B195">
        <v>69</v>
      </c>
      <c r="C195" t="s">
        <v>1</v>
      </c>
      <c r="D195">
        <v>4230</v>
      </c>
      <c r="E195">
        <v>157345</v>
      </c>
      <c r="F195">
        <v>2</v>
      </c>
      <c r="G195" s="4" t="s">
        <v>315</v>
      </c>
      <c r="H195" s="4" t="s">
        <v>316</v>
      </c>
      <c r="I195">
        <v>5000</v>
      </c>
      <c r="J195" s="7">
        <f t="shared" ref="J195:J258" si="10">D195/365</f>
        <v>11.58904109589041</v>
      </c>
      <c r="K195">
        <f t="shared" ref="K195:K258" si="11">E195/J195</f>
        <v>13577.050827423169</v>
      </c>
      <c r="Q195" t="str">
        <f t="shared" ref="Q195:Q258" si="12">IF(C195 = "manual", "Cheaper in UK","More Expensive")</f>
        <v>Cheaper in UK</v>
      </c>
    </row>
    <row r="196" spans="1:17" x14ac:dyDescent="0.3">
      <c r="A196" t="s">
        <v>4</v>
      </c>
      <c r="B196">
        <v>99</v>
      </c>
      <c r="C196" t="s">
        <v>7</v>
      </c>
      <c r="D196">
        <v>4230</v>
      </c>
      <c r="E196">
        <v>115000</v>
      </c>
      <c r="F196">
        <v>2</v>
      </c>
      <c r="G196" s="4" t="s">
        <v>317</v>
      </c>
      <c r="H196" s="4" t="s">
        <v>318</v>
      </c>
      <c r="I196">
        <v>5000</v>
      </c>
      <c r="J196" s="7">
        <f t="shared" si="10"/>
        <v>11.58904109589041</v>
      </c>
      <c r="K196">
        <f t="shared" si="11"/>
        <v>9923.1678486997644</v>
      </c>
      <c r="Q196" t="str">
        <f t="shared" si="12"/>
        <v>More Expensive</v>
      </c>
    </row>
    <row r="197" spans="1:17" x14ac:dyDescent="0.3">
      <c r="A197" t="s">
        <v>4</v>
      </c>
      <c r="B197">
        <v>69</v>
      </c>
      <c r="C197" t="s">
        <v>7</v>
      </c>
      <c r="D197">
        <v>3865</v>
      </c>
      <c r="E197">
        <v>152837</v>
      </c>
      <c r="F197">
        <v>1</v>
      </c>
      <c r="G197" s="4" t="s">
        <v>319</v>
      </c>
      <c r="H197" s="4" t="s">
        <v>320</v>
      </c>
      <c r="I197">
        <v>5000</v>
      </c>
      <c r="J197" s="7">
        <f t="shared" si="10"/>
        <v>10.58904109589041</v>
      </c>
      <c r="K197">
        <f t="shared" si="11"/>
        <v>14433.507115135835</v>
      </c>
      <c r="Q197" t="str">
        <f t="shared" si="12"/>
        <v>More Expensive</v>
      </c>
    </row>
    <row r="198" spans="1:17" x14ac:dyDescent="0.3">
      <c r="A198" t="s">
        <v>10</v>
      </c>
      <c r="B198">
        <v>99</v>
      </c>
      <c r="C198" t="s">
        <v>1</v>
      </c>
      <c r="D198">
        <v>4443</v>
      </c>
      <c r="E198">
        <v>158000</v>
      </c>
      <c r="F198">
        <v>1</v>
      </c>
      <c r="G198" s="5" t="s">
        <v>484</v>
      </c>
      <c r="H198" s="4" t="s">
        <v>312</v>
      </c>
      <c r="I198">
        <v>5000</v>
      </c>
      <c r="J198" s="7">
        <f t="shared" si="10"/>
        <v>12.172602739726027</v>
      </c>
      <c r="K198">
        <f t="shared" si="11"/>
        <v>12979.968489759172</v>
      </c>
      <c r="Q198" t="str">
        <f t="shared" si="12"/>
        <v>Cheaper in UK</v>
      </c>
    </row>
    <row r="199" spans="1:17" x14ac:dyDescent="0.3">
      <c r="A199" t="s">
        <v>4</v>
      </c>
      <c r="B199">
        <v>69</v>
      </c>
      <c r="C199" t="s">
        <v>1</v>
      </c>
      <c r="D199">
        <v>3988</v>
      </c>
      <c r="E199">
        <v>135000</v>
      </c>
      <c r="F199">
        <v>2</v>
      </c>
      <c r="G199" s="4" t="s">
        <v>321</v>
      </c>
      <c r="H199" s="4" t="s">
        <v>322</v>
      </c>
      <c r="I199">
        <v>5050</v>
      </c>
      <c r="J199" s="7">
        <f t="shared" si="10"/>
        <v>10.926027397260274</v>
      </c>
      <c r="K199">
        <f t="shared" si="11"/>
        <v>12355.817452357071</v>
      </c>
      <c r="Q199" t="str">
        <f t="shared" si="12"/>
        <v>Cheaper in UK</v>
      </c>
    </row>
    <row r="200" spans="1:17" x14ac:dyDescent="0.3">
      <c r="A200" t="s">
        <v>4</v>
      </c>
      <c r="B200">
        <v>69</v>
      </c>
      <c r="C200" t="s">
        <v>1</v>
      </c>
      <c r="D200">
        <v>4474</v>
      </c>
      <c r="E200">
        <v>55900</v>
      </c>
      <c r="F200">
        <v>1</v>
      </c>
      <c r="G200" s="4" t="s">
        <v>323</v>
      </c>
      <c r="H200" s="4" t="s">
        <v>324</v>
      </c>
      <c r="I200">
        <v>5100</v>
      </c>
      <c r="J200" s="7">
        <f t="shared" si="10"/>
        <v>12.257534246575343</v>
      </c>
      <c r="K200">
        <f t="shared" si="11"/>
        <v>4560.4604380867231</v>
      </c>
      <c r="Q200" t="str">
        <f t="shared" si="12"/>
        <v>Cheaper in UK</v>
      </c>
    </row>
    <row r="201" spans="1:17" x14ac:dyDescent="0.3">
      <c r="A201" t="s">
        <v>0</v>
      </c>
      <c r="B201">
        <v>69</v>
      </c>
      <c r="C201" t="s">
        <v>1</v>
      </c>
      <c r="D201">
        <v>3835</v>
      </c>
      <c r="E201">
        <v>156000</v>
      </c>
      <c r="F201">
        <v>1</v>
      </c>
      <c r="G201" s="4" t="s">
        <v>325</v>
      </c>
      <c r="H201" s="4" t="s">
        <v>326</v>
      </c>
      <c r="I201">
        <v>5100</v>
      </c>
      <c r="J201" s="7">
        <f t="shared" si="10"/>
        <v>10.506849315068493</v>
      </c>
      <c r="K201">
        <f t="shared" si="11"/>
        <v>14847.457627118645</v>
      </c>
      <c r="Q201" t="str">
        <f t="shared" si="12"/>
        <v>Cheaper in UK</v>
      </c>
    </row>
    <row r="202" spans="1:17" x14ac:dyDescent="0.3">
      <c r="A202" t="s">
        <v>4</v>
      </c>
      <c r="B202">
        <v>69</v>
      </c>
      <c r="C202" t="s">
        <v>1</v>
      </c>
      <c r="D202">
        <v>3865</v>
      </c>
      <c r="E202">
        <v>104238</v>
      </c>
      <c r="F202">
        <v>2</v>
      </c>
      <c r="G202" s="4" t="s">
        <v>327</v>
      </c>
      <c r="H202" s="4" t="s">
        <v>328</v>
      </c>
      <c r="I202">
        <v>5100</v>
      </c>
      <c r="J202" s="7">
        <f t="shared" si="10"/>
        <v>10.58904109589041</v>
      </c>
      <c r="K202">
        <f t="shared" si="11"/>
        <v>9843.9508408796901</v>
      </c>
      <c r="Q202" t="str">
        <f t="shared" si="12"/>
        <v>Cheaper in UK</v>
      </c>
    </row>
    <row r="203" spans="1:17" x14ac:dyDescent="0.3">
      <c r="A203" t="s">
        <v>0</v>
      </c>
      <c r="B203">
        <v>69</v>
      </c>
      <c r="C203" t="s">
        <v>1</v>
      </c>
      <c r="D203">
        <v>4383</v>
      </c>
      <c r="E203">
        <v>129600</v>
      </c>
      <c r="F203">
        <v>1</v>
      </c>
      <c r="G203" s="5" t="s">
        <v>485</v>
      </c>
      <c r="H203" s="5" t="s">
        <v>459</v>
      </c>
      <c r="I203">
        <v>5100</v>
      </c>
      <c r="J203" s="7">
        <f t="shared" si="10"/>
        <v>12.008219178082191</v>
      </c>
      <c r="K203">
        <f t="shared" si="11"/>
        <v>10792.607802874743</v>
      </c>
      <c r="Q203" t="str">
        <f t="shared" si="12"/>
        <v>Cheaper in UK</v>
      </c>
    </row>
    <row r="204" spans="1:17" x14ac:dyDescent="0.3">
      <c r="A204" t="s">
        <v>10</v>
      </c>
      <c r="B204">
        <v>69</v>
      </c>
      <c r="C204" t="s">
        <v>7</v>
      </c>
      <c r="D204">
        <v>4139</v>
      </c>
      <c r="E204">
        <v>75000</v>
      </c>
      <c r="F204">
        <v>1</v>
      </c>
      <c r="G204" s="4" t="s">
        <v>329</v>
      </c>
      <c r="H204" s="4" t="s">
        <v>330</v>
      </c>
      <c r="I204">
        <v>5100</v>
      </c>
      <c r="J204" s="7">
        <f t="shared" si="10"/>
        <v>11.33972602739726</v>
      </c>
      <c r="K204">
        <f t="shared" si="11"/>
        <v>6613.9164049287265</v>
      </c>
      <c r="Q204" t="str">
        <f t="shared" si="12"/>
        <v>More Expensive</v>
      </c>
    </row>
    <row r="205" spans="1:17" x14ac:dyDescent="0.3">
      <c r="A205" t="s">
        <v>4</v>
      </c>
      <c r="B205">
        <v>69</v>
      </c>
      <c r="C205" t="s">
        <v>1</v>
      </c>
      <c r="D205">
        <v>3988</v>
      </c>
      <c r="E205">
        <v>92000</v>
      </c>
      <c r="F205">
        <v>2</v>
      </c>
      <c r="G205" s="4" t="s">
        <v>331</v>
      </c>
      <c r="H205" s="4" t="s">
        <v>332</v>
      </c>
      <c r="I205">
        <v>5100</v>
      </c>
      <c r="J205" s="7">
        <f t="shared" si="10"/>
        <v>10.926027397260274</v>
      </c>
      <c r="K205">
        <f t="shared" si="11"/>
        <v>8420.2607823470407</v>
      </c>
      <c r="Q205" t="str">
        <f t="shared" si="12"/>
        <v>Cheaper in UK</v>
      </c>
    </row>
    <row r="206" spans="1:17" x14ac:dyDescent="0.3">
      <c r="A206" t="s">
        <v>10</v>
      </c>
      <c r="B206">
        <v>99</v>
      </c>
      <c r="C206" t="s">
        <v>1</v>
      </c>
      <c r="D206">
        <v>3896</v>
      </c>
      <c r="E206">
        <v>120000</v>
      </c>
      <c r="F206">
        <v>2</v>
      </c>
      <c r="G206" s="5" t="s">
        <v>472</v>
      </c>
      <c r="H206" s="4" t="s">
        <v>137</v>
      </c>
      <c r="I206">
        <v>5100</v>
      </c>
      <c r="J206" s="7">
        <f t="shared" si="10"/>
        <v>10.673972602739726</v>
      </c>
      <c r="K206">
        <f t="shared" si="11"/>
        <v>11242.299794661192</v>
      </c>
      <c r="Q206" t="str">
        <f t="shared" si="12"/>
        <v>Cheaper in UK</v>
      </c>
    </row>
    <row r="207" spans="1:17" x14ac:dyDescent="0.3">
      <c r="A207" t="s">
        <v>10</v>
      </c>
      <c r="B207">
        <v>99</v>
      </c>
      <c r="C207" t="s">
        <v>1</v>
      </c>
      <c r="D207">
        <v>4443</v>
      </c>
      <c r="E207">
        <v>92000</v>
      </c>
      <c r="F207">
        <v>1</v>
      </c>
      <c r="G207" s="4" t="s">
        <v>22</v>
      </c>
      <c r="H207" s="4" t="s">
        <v>23</v>
      </c>
      <c r="I207">
        <v>5199</v>
      </c>
      <c r="J207" s="7">
        <f t="shared" si="10"/>
        <v>12.172602739726027</v>
      </c>
      <c r="K207">
        <f t="shared" si="11"/>
        <v>7557.9563358091382</v>
      </c>
      <c r="Q207" t="str">
        <f t="shared" si="12"/>
        <v>Cheaper in UK</v>
      </c>
    </row>
    <row r="208" spans="1:17" x14ac:dyDescent="0.3">
      <c r="A208" t="s">
        <v>0</v>
      </c>
      <c r="B208">
        <v>69</v>
      </c>
      <c r="C208" t="s">
        <v>7</v>
      </c>
      <c r="D208">
        <v>548</v>
      </c>
      <c r="E208">
        <v>82000</v>
      </c>
      <c r="F208">
        <v>1</v>
      </c>
      <c r="G208" s="4" t="s">
        <v>333</v>
      </c>
      <c r="H208" s="4" t="s">
        <v>334</v>
      </c>
      <c r="I208">
        <v>5200</v>
      </c>
      <c r="J208" s="7">
        <f t="shared" si="10"/>
        <v>1.5013698630136987</v>
      </c>
      <c r="K208">
        <f t="shared" si="11"/>
        <v>54616.788321167878</v>
      </c>
      <c r="Q208" t="str">
        <f t="shared" si="12"/>
        <v>More Expensive</v>
      </c>
    </row>
    <row r="209" spans="1:17" x14ac:dyDescent="0.3">
      <c r="A209" t="s">
        <v>10</v>
      </c>
      <c r="B209">
        <v>69</v>
      </c>
      <c r="C209" t="s">
        <v>1</v>
      </c>
      <c r="D209">
        <v>4353</v>
      </c>
      <c r="E209">
        <v>119000</v>
      </c>
      <c r="F209">
        <v>1</v>
      </c>
      <c r="G209" s="5" t="s">
        <v>486</v>
      </c>
      <c r="H209" s="4" t="s">
        <v>335</v>
      </c>
      <c r="I209">
        <v>5200</v>
      </c>
      <c r="J209" s="7">
        <f t="shared" si="10"/>
        <v>11.926027397260274</v>
      </c>
      <c r="K209">
        <f t="shared" si="11"/>
        <v>9978.1759705949917</v>
      </c>
      <c r="Q209" t="str">
        <f t="shared" si="12"/>
        <v>Cheaper in UK</v>
      </c>
    </row>
    <row r="210" spans="1:17" x14ac:dyDescent="0.3">
      <c r="A210" t="s">
        <v>4</v>
      </c>
      <c r="B210">
        <v>69</v>
      </c>
      <c r="C210" t="s">
        <v>1</v>
      </c>
      <c r="D210">
        <v>3197</v>
      </c>
      <c r="E210">
        <v>93986</v>
      </c>
      <c r="F210">
        <v>1</v>
      </c>
      <c r="G210" s="4" t="s">
        <v>336</v>
      </c>
      <c r="H210" s="4" t="s">
        <v>337</v>
      </c>
      <c r="I210">
        <v>5200</v>
      </c>
      <c r="J210" s="7">
        <f t="shared" si="10"/>
        <v>8.7589041095890412</v>
      </c>
      <c r="K210">
        <f t="shared" si="11"/>
        <v>10730.337816703159</v>
      </c>
      <c r="Q210" t="str">
        <f t="shared" si="12"/>
        <v>Cheaper in UK</v>
      </c>
    </row>
    <row r="211" spans="1:17" x14ac:dyDescent="0.3">
      <c r="A211" t="s">
        <v>10</v>
      </c>
      <c r="B211">
        <v>69</v>
      </c>
      <c r="C211" t="s">
        <v>1</v>
      </c>
      <c r="D211">
        <v>2313</v>
      </c>
      <c r="E211">
        <v>125000</v>
      </c>
      <c r="F211">
        <v>1</v>
      </c>
      <c r="G211" s="4" t="s">
        <v>112</v>
      </c>
      <c r="H211" s="5" t="s">
        <v>447</v>
      </c>
      <c r="I211">
        <v>5200</v>
      </c>
      <c r="J211" s="7">
        <f t="shared" si="10"/>
        <v>6.3369863013698629</v>
      </c>
      <c r="K211">
        <f t="shared" si="11"/>
        <v>19725.464764375272</v>
      </c>
      <c r="Q211" t="str">
        <f t="shared" si="12"/>
        <v>Cheaper in UK</v>
      </c>
    </row>
    <row r="212" spans="1:17" x14ac:dyDescent="0.3">
      <c r="A212" t="s">
        <v>0</v>
      </c>
      <c r="B212">
        <v>69</v>
      </c>
      <c r="C212" t="s">
        <v>1</v>
      </c>
      <c r="D212">
        <v>4535</v>
      </c>
      <c r="E212">
        <v>66416</v>
      </c>
      <c r="F212">
        <v>2</v>
      </c>
      <c r="G212" s="4" t="s">
        <v>338</v>
      </c>
      <c r="H212" s="4" t="s">
        <v>339</v>
      </c>
      <c r="I212">
        <v>5200</v>
      </c>
      <c r="J212" s="7">
        <f t="shared" si="10"/>
        <v>12.424657534246576</v>
      </c>
      <c r="K212">
        <f t="shared" si="11"/>
        <v>5345.4994487320837</v>
      </c>
      <c r="Q212" t="str">
        <f t="shared" si="12"/>
        <v>Cheaper in UK</v>
      </c>
    </row>
    <row r="213" spans="1:17" x14ac:dyDescent="0.3">
      <c r="A213" t="s">
        <v>4</v>
      </c>
      <c r="B213">
        <v>69</v>
      </c>
      <c r="C213" t="s">
        <v>1</v>
      </c>
      <c r="D213">
        <v>4474</v>
      </c>
      <c r="E213">
        <v>61200</v>
      </c>
      <c r="F213">
        <v>1</v>
      </c>
      <c r="G213" s="4" t="s">
        <v>340</v>
      </c>
      <c r="H213" s="4" t="s">
        <v>341</v>
      </c>
      <c r="I213">
        <v>5200</v>
      </c>
      <c r="J213" s="7">
        <f t="shared" si="10"/>
        <v>12.257534246575343</v>
      </c>
      <c r="K213">
        <f t="shared" si="11"/>
        <v>4992.8475637013853</v>
      </c>
      <c r="Q213" t="str">
        <f t="shared" si="12"/>
        <v>Cheaper in UK</v>
      </c>
    </row>
    <row r="214" spans="1:17" x14ac:dyDescent="0.3">
      <c r="A214" t="s">
        <v>4</v>
      </c>
      <c r="B214">
        <v>84</v>
      </c>
      <c r="C214" t="s">
        <v>1</v>
      </c>
      <c r="D214">
        <v>3227</v>
      </c>
      <c r="E214">
        <v>128000</v>
      </c>
      <c r="F214">
        <v>1</v>
      </c>
      <c r="G214" s="5" t="s">
        <v>487</v>
      </c>
      <c r="H214" s="4" t="s">
        <v>342</v>
      </c>
      <c r="I214">
        <v>5200</v>
      </c>
      <c r="J214" s="7">
        <f t="shared" si="10"/>
        <v>8.8410958904109584</v>
      </c>
      <c r="K214">
        <f t="shared" si="11"/>
        <v>14477.843198016735</v>
      </c>
      <c r="Q214" t="str">
        <f t="shared" si="12"/>
        <v>Cheaper in UK</v>
      </c>
    </row>
    <row r="215" spans="1:17" x14ac:dyDescent="0.3">
      <c r="A215" t="s">
        <v>4</v>
      </c>
      <c r="B215">
        <v>69</v>
      </c>
      <c r="C215" t="s">
        <v>1</v>
      </c>
      <c r="D215">
        <v>3835</v>
      </c>
      <c r="E215">
        <v>100000</v>
      </c>
      <c r="F215">
        <v>1</v>
      </c>
      <c r="G215" s="4" t="s">
        <v>253</v>
      </c>
      <c r="H215" s="4" t="s">
        <v>254</v>
      </c>
      <c r="I215">
        <v>5200</v>
      </c>
      <c r="J215" s="7">
        <f t="shared" si="10"/>
        <v>10.506849315068493</v>
      </c>
      <c r="K215">
        <f t="shared" si="11"/>
        <v>9517.6010430247716</v>
      </c>
      <c r="Q215" t="str">
        <f t="shared" si="12"/>
        <v>Cheaper in UK</v>
      </c>
    </row>
    <row r="216" spans="1:17" x14ac:dyDescent="0.3">
      <c r="A216" t="s">
        <v>4</v>
      </c>
      <c r="B216">
        <v>69</v>
      </c>
      <c r="C216" t="s">
        <v>1</v>
      </c>
      <c r="D216">
        <v>2800</v>
      </c>
      <c r="E216">
        <v>150000</v>
      </c>
      <c r="F216">
        <v>2</v>
      </c>
      <c r="G216" s="4" t="s">
        <v>343</v>
      </c>
      <c r="H216" s="4" t="s">
        <v>344</v>
      </c>
      <c r="I216">
        <v>5200</v>
      </c>
      <c r="J216" s="7">
        <f t="shared" si="10"/>
        <v>7.6712328767123283</v>
      </c>
      <c r="K216">
        <f t="shared" si="11"/>
        <v>19553.571428571431</v>
      </c>
      <c r="Q216" t="str">
        <f t="shared" si="12"/>
        <v>Cheaper in UK</v>
      </c>
    </row>
    <row r="217" spans="1:17" x14ac:dyDescent="0.3">
      <c r="A217" t="s">
        <v>10</v>
      </c>
      <c r="B217">
        <v>69</v>
      </c>
      <c r="C217" t="s">
        <v>1</v>
      </c>
      <c r="D217">
        <v>3712</v>
      </c>
      <c r="E217">
        <v>115280</v>
      </c>
      <c r="F217">
        <v>1</v>
      </c>
      <c r="G217" s="4" t="s">
        <v>5</v>
      </c>
      <c r="H217" s="4" t="s">
        <v>6</v>
      </c>
      <c r="I217">
        <v>5200</v>
      </c>
      <c r="J217" s="7">
        <f t="shared" si="10"/>
        <v>10.169863013698631</v>
      </c>
      <c r="K217">
        <f t="shared" si="11"/>
        <v>11335.452586206895</v>
      </c>
      <c r="Q217" t="str">
        <f t="shared" si="12"/>
        <v>Cheaper in UK</v>
      </c>
    </row>
    <row r="218" spans="1:17" x14ac:dyDescent="0.3">
      <c r="A218" t="s">
        <v>4</v>
      </c>
      <c r="B218">
        <v>69</v>
      </c>
      <c r="C218" t="s">
        <v>1</v>
      </c>
      <c r="D218">
        <v>3347</v>
      </c>
      <c r="E218">
        <v>111629</v>
      </c>
      <c r="F218">
        <v>2</v>
      </c>
      <c r="G218" s="4" t="s">
        <v>338</v>
      </c>
      <c r="H218" s="4" t="s">
        <v>339</v>
      </c>
      <c r="I218">
        <v>5200</v>
      </c>
      <c r="J218" s="7">
        <f t="shared" si="10"/>
        <v>9.169863013698631</v>
      </c>
      <c r="K218">
        <f t="shared" si="11"/>
        <v>12173.464296384822</v>
      </c>
      <c r="Q218" t="str">
        <f t="shared" si="12"/>
        <v>Cheaper in UK</v>
      </c>
    </row>
    <row r="219" spans="1:17" x14ac:dyDescent="0.3">
      <c r="A219" t="s">
        <v>4</v>
      </c>
      <c r="B219">
        <v>69</v>
      </c>
      <c r="C219" t="s">
        <v>1</v>
      </c>
      <c r="D219">
        <v>4200</v>
      </c>
      <c r="E219">
        <v>108852</v>
      </c>
      <c r="F219">
        <v>1</v>
      </c>
      <c r="G219" s="4" t="s">
        <v>5</v>
      </c>
      <c r="H219" s="4" t="s">
        <v>6</v>
      </c>
      <c r="I219">
        <v>5200</v>
      </c>
      <c r="J219" s="7">
        <f t="shared" si="10"/>
        <v>11.506849315068493</v>
      </c>
      <c r="K219">
        <f t="shared" si="11"/>
        <v>9459.7571428571428</v>
      </c>
      <c r="Q219" t="str">
        <f t="shared" si="12"/>
        <v>Cheaper in UK</v>
      </c>
    </row>
    <row r="220" spans="1:17" x14ac:dyDescent="0.3">
      <c r="A220" t="s">
        <v>4</v>
      </c>
      <c r="B220">
        <v>69</v>
      </c>
      <c r="C220" t="s">
        <v>1</v>
      </c>
      <c r="D220">
        <v>3835</v>
      </c>
      <c r="E220">
        <v>100000</v>
      </c>
      <c r="F220">
        <v>1</v>
      </c>
      <c r="G220" s="4" t="s">
        <v>345</v>
      </c>
      <c r="H220" s="4" t="s">
        <v>346</v>
      </c>
      <c r="I220">
        <v>5200</v>
      </c>
      <c r="J220" s="7">
        <f t="shared" si="10"/>
        <v>10.506849315068493</v>
      </c>
      <c r="K220">
        <f t="shared" si="11"/>
        <v>9517.6010430247716</v>
      </c>
      <c r="Q220" t="str">
        <f t="shared" si="12"/>
        <v>Cheaper in UK</v>
      </c>
    </row>
    <row r="221" spans="1:17" x14ac:dyDescent="0.3">
      <c r="A221" t="s">
        <v>4</v>
      </c>
      <c r="B221">
        <v>69</v>
      </c>
      <c r="C221" t="s">
        <v>7</v>
      </c>
      <c r="D221">
        <v>3957</v>
      </c>
      <c r="E221">
        <v>110000</v>
      </c>
      <c r="F221">
        <v>1</v>
      </c>
      <c r="G221" s="4" t="s">
        <v>27</v>
      </c>
      <c r="H221" s="4" t="s">
        <v>28</v>
      </c>
      <c r="I221">
        <v>5200</v>
      </c>
      <c r="J221" s="7">
        <f t="shared" si="10"/>
        <v>10.841095890410958</v>
      </c>
      <c r="K221">
        <f t="shared" si="11"/>
        <v>10146.57568865302</v>
      </c>
      <c r="Q221" t="str">
        <f t="shared" si="12"/>
        <v>More Expensive</v>
      </c>
    </row>
    <row r="222" spans="1:17" x14ac:dyDescent="0.3">
      <c r="A222" t="s">
        <v>0</v>
      </c>
      <c r="B222">
        <v>69</v>
      </c>
      <c r="C222" t="s">
        <v>1</v>
      </c>
      <c r="D222">
        <v>4139</v>
      </c>
      <c r="E222">
        <v>113000</v>
      </c>
      <c r="F222">
        <v>1</v>
      </c>
      <c r="G222" s="4" t="s">
        <v>347</v>
      </c>
      <c r="H222" s="5" t="s">
        <v>460</v>
      </c>
      <c r="I222">
        <v>5200</v>
      </c>
      <c r="J222" s="7">
        <f t="shared" si="10"/>
        <v>11.33972602739726</v>
      </c>
      <c r="K222">
        <f t="shared" si="11"/>
        <v>9964.9673834259484</v>
      </c>
      <c r="Q222" t="str">
        <f t="shared" si="12"/>
        <v>Cheaper in UK</v>
      </c>
    </row>
    <row r="223" spans="1:17" x14ac:dyDescent="0.3">
      <c r="A223" t="s">
        <v>4</v>
      </c>
      <c r="B223">
        <v>69</v>
      </c>
      <c r="C223" t="s">
        <v>1</v>
      </c>
      <c r="D223">
        <v>4108</v>
      </c>
      <c r="E223">
        <v>138000</v>
      </c>
      <c r="F223">
        <v>1</v>
      </c>
      <c r="G223" s="5" t="s">
        <v>488</v>
      </c>
      <c r="H223" s="4" t="s">
        <v>348</v>
      </c>
      <c r="I223">
        <v>5200</v>
      </c>
      <c r="J223" s="7">
        <f t="shared" si="10"/>
        <v>11.254794520547945</v>
      </c>
      <c r="K223">
        <f t="shared" si="11"/>
        <v>12261.441090555016</v>
      </c>
      <c r="Q223" t="str">
        <f t="shared" si="12"/>
        <v>Cheaper in UK</v>
      </c>
    </row>
    <row r="224" spans="1:17" x14ac:dyDescent="0.3">
      <c r="A224" t="s">
        <v>0</v>
      </c>
      <c r="B224">
        <v>69</v>
      </c>
      <c r="C224" t="s">
        <v>1</v>
      </c>
      <c r="D224">
        <v>3804</v>
      </c>
      <c r="E224">
        <v>92000</v>
      </c>
      <c r="F224">
        <v>1</v>
      </c>
      <c r="G224" s="4" t="s">
        <v>18</v>
      </c>
      <c r="H224" s="4" t="s">
        <v>19</v>
      </c>
      <c r="I224">
        <v>5200</v>
      </c>
      <c r="J224" s="7">
        <f t="shared" si="10"/>
        <v>10.421917808219177</v>
      </c>
      <c r="K224">
        <f t="shared" si="11"/>
        <v>8827.5499474237658</v>
      </c>
      <c r="Q224" t="str">
        <f t="shared" si="12"/>
        <v>Cheaper in UK</v>
      </c>
    </row>
    <row r="225" spans="1:17" x14ac:dyDescent="0.3">
      <c r="A225" t="s">
        <v>4</v>
      </c>
      <c r="B225">
        <v>69</v>
      </c>
      <c r="C225" t="s">
        <v>1</v>
      </c>
      <c r="D225">
        <v>3684</v>
      </c>
      <c r="E225">
        <v>104000</v>
      </c>
      <c r="F225">
        <v>1</v>
      </c>
      <c r="G225" s="5" t="s">
        <v>468</v>
      </c>
      <c r="H225" s="4" t="s">
        <v>115</v>
      </c>
      <c r="I225">
        <v>5200</v>
      </c>
      <c r="J225" s="7">
        <f t="shared" si="10"/>
        <v>10.093150684931507</v>
      </c>
      <c r="K225">
        <f t="shared" si="11"/>
        <v>10304.017372421282</v>
      </c>
      <c r="Q225" t="str">
        <f t="shared" si="12"/>
        <v>Cheaper in UK</v>
      </c>
    </row>
    <row r="226" spans="1:17" x14ac:dyDescent="0.3">
      <c r="A226" t="s">
        <v>4</v>
      </c>
      <c r="B226">
        <v>69</v>
      </c>
      <c r="C226" t="s">
        <v>1</v>
      </c>
      <c r="D226">
        <v>3835</v>
      </c>
      <c r="E226">
        <v>124000</v>
      </c>
      <c r="F226">
        <v>2</v>
      </c>
      <c r="G226" s="4" t="s">
        <v>349</v>
      </c>
      <c r="H226" s="4" t="s">
        <v>350</v>
      </c>
      <c r="I226">
        <v>5200</v>
      </c>
      <c r="J226" s="7">
        <f t="shared" si="10"/>
        <v>10.506849315068493</v>
      </c>
      <c r="K226">
        <f t="shared" si="11"/>
        <v>11801.825293350717</v>
      </c>
      <c r="Q226" t="str">
        <f t="shared" si="12"/>
        <v>Cheaper in UK</v>
      </c>
    </row>
    <row r="227" spans="1:17" x14ac:dyDescent="0.3">
      <c r="A227" t="s">
        <v>0</v>
      </c>
      <c r="B227">
        <v>69</v>
      </c>
      <c r="C227" t="s">
        <v>1</v>
      </c>
      <c r="D227">
        <v>4292</v>
      </c>
      <c r="E227">
        <v>122900</v>
      </c>
      <c r="F227">
        <v>1</v>
      </c>
      <c r="G227" s="4" t="s">
        <v>351</v>
      </c>
      <c r="H227" s="4" t="s">
        <v>352</v>
      </c>
      <c r="I227">
        <v>5200</v>
      </c>
      <c r="J227" s="7">
        <f t="shared" si="10"/>
        <v>11.758904109589041</v>
      </c>
      <c r="K227">
        <f t="shared" si="11"/>
        <v>10451.654240447344</v>
      </c>
      <c r="Q227" t="str">
        <f t="shared" si="12"/>
        <v>Cheaper in UK</v>
      </c>
    </row>
    <row r="228" spans="1:17" x14ac:dyDescent="0.3">
      <c r="A228" t="s">
        <v>10</v>
      </c>
      <c r="B228">
        <v>99</v>
      </c>
      <c r="C228" t="s">
        <v>1</v>
      </c>
      <c r="D228">
        <v>4200</v>
      </c>
      <c r="E228">
        <v>112500</v>
      </c>
      <c r="F228">
        <v>1</v>
      </c>
      <c r="G228" s="4" t="s">
        <v>353</v>
      </c>
      <c r="H228" s="4" t="s">
        <v>354</v>
      </c>
      <c r="I228">
        <v>5200</v>
      </c>
      <c r="J228" s="7">
        <f t="shared" si="10"/>
        <v>11.506849315068493</v>
      </c>
      <c r="K228">
        <f t="shared" si="11"/>
        <v>9776.7857142857138</v>
      </c>
      <c r="Q228" t="str">
        <f t="shared" si="12"/>
        <v>Cheaper in UK</v>
      </c>
    </row>
    <row r="229" spans="1:17" x14ac:dyDescent="0.3">
      <c r="A229" t="s">
        <v>4</v>
      </c>
      <c r="B229">
        <v>69</v>
      </c>
      <c r="C229" t="s">
        <v>1</v>
      </c>
      <c r="D229">
        <v>4230</v>
      </c>
      <c r="E229">
        <v>138000</v>
      </c>
      <c r="F229">
        <v>2</v>
      </c>
      <c r="G229" s="4" t="s">
        <v>355</v>
      </c>
      <c r="H229" s="4" t="s">
        <v>356</v>
      </c>
      <c r="I229">
        <v>5200</v>
      </c>
      <c r="J229" s="7">
        <f t="shared" si="10"/>
        <v>11.58904109589041</v>
      </c>
      <c r="K229">
        <f t="shared" si="11"/>
        <v>11907.801418439718</v>
      </c>
      <c r="Q229" t="str">
        <f t="shared" si="12"/>
        <v>Cheaper in UK</v>
      </c>
    </row>
    <row r="230" spans="1:17" x14ac:dyDescent="0.3">
      <c r="A230" t="s">
        <v>0</v>
      </c>
      <c r="B230">
        <v>69</v>
      </c>
      <c r="C230" t="s">
        <v>1</v>
      </c>
      <c r="D230">
        <v>4414</v>
      </c>
      <c r="E230">
        <v>69000</v>
      </c>
      <c r="F230">
        <v>2</v>
      </c>
      <c r="G230" s="4" t="s">
        <v>18</v>
      </c>
      <c r="H230" s="4" t="s">
        <v>19</v>
      </c>
      <c r="I230">
        <v>5290</v>
      </c>
      <c r="J230" s="7">
        <f t="shared" si="10"/>
        <v>12.093150684931507</v>
      </c>
      <c r="K230">
        <f t="shared" si="11"/>
        <v>5705.7091073855918</v>
      </c>
      <c r="Q230" t="str">
        <f t="shared" si="12"/>
        <v>Cheaper in UK</v>
      </c>
    </row>
    <row r="231" spans="1:17" x14ac:dyDescent="0.3">
      <c r="A231" t="s">
        <v>4</v>
      </c>
      <c r="B231">
        <v>69</v>
      </c>
      <c r="C231" t="s">
        <v>1</v>
      </c>
      <c r="D231">
        <v>4535</v>
      </c>
      <c r="E231">
        <v>41500</v>
      </c>
      <c r="F231">
        <v>1</v>
      </c>
      <c r="G231" s="4" t="s">
        <v>5</v>
      </c>
      <c r="H231" s="4" t="s">
        <v>6</v>
      </c>
      <c r="I231">
        <v>5290</v>
      </c>
      <c r="J231" s="7">
        <f t="shared" si="10"/>
        <v>12.424657534246576</v>
      </c>
      <c r="K231">
        <f t="shared" si="11"/>
        <v>3340.1323042998897</v>
      </c>
      <c r="Q231" t="str">
        <f t="shared" si="12"/>
        <v>Cheaper in UK</v>
      </c>
    </row>
    <row r="232" spans="1:17" x14ac:dyDescent="0.3">
      <c r="A232" t="s">
        <v>4</v>
      </c>
      <c r="B232">
        <v>84</v>
      </c>
      <c r="C232" t="s">
        <v>1</v>
      </c>
      <c r="D232">
        <v>3500</v>
      </c>
      <c r="E232">
        <v>97000</v>
      </c>
      <c r="F232">
        <v>1</v>
      </c>
      <c r="G232" s="4" t="s">
        <v>357</v>
      </c>
      <c r="H232" s="4" t="s">
        <v>358</v>
      </c>
      <c r="I232">
        <v>5290</v>
      </c>
      <c r="J232" s="7">
        <f t="shared" si="10"/>
        <v>9.5890410958904102</v>
      </c>
      <c r="K232">
        <f t="shared" si="11"/>
        <v>10115.714285714286</v>
      </c>
      <c r="Q232" t="str">
        <f t="shared" si="12"/>
        <v>Cheaper in UK</v>
      </c>
    </row>
    <row r="233" spans="1:17" x14ac:dyDescent="0.3">
      <c r="A233" t="s">
        <v>4</v>
      </c>
      <c r="B233">
        <v>69</v>
      </c>
      <c r="C233" t="s">
        <v>1</v>
      </c>
      <c r="D233">
        <v>3653</v>
      </c>
      <c r="E233">
        <v>122649</v>
      </c>
      <c r="F233">
        <v>2</v>
      </c>
      <c r="G233" s="4" t="s">
        <v>233</v>
      </c>
      <c r="H233" s="4" t="s">
        <v>234</v>
      </c>
      <c r="I233">
        <v>5300</v>
      </c>
      <c r="J233" s="7">
        <f t="shared" si="10"/>
        <v>10.008219178082191</v>
      </c>
      <c r="K233">
        <f t="shared" si="11"/>
        <v>12254.827539009035</v>
      </c>
      <c r="Q233" t="str">
        <f t="shared" si="12"/>
        <v>Cheaper in UK</v>
      </c>
    </row>
    <row r="234" spans="1:17" x14ac:dyDescent="0.3">
      <c r="A234" t="s">
        <v>10</v>
      </c>
      <c r="B234">
        <v>99</v>
      </c>
      <c r="C234" t="s">
        <v>1</v>
      </c>
      <c r="D234">
        <v>4292</v>
      </c>
      <c r="E234">
        <v>78000</v>
      </c>
      <c r="F234">
        <v>1</v>
      </c>
      <c r="G234" s="4" t="s">
        <v>359</v>
      </c>
      <c r="H234" s="4" t="s">
        <v>360</v>
      </c>
      <c r="I234">
        <v>5300</v>
      </c>
      <c r="J234" s="7">
        <f t="shared" si="10"/>
        <v>11.758904109589041</v>
      </c>
      <c r="K234">
        <f t="shared" si="11"/>
        <v>6633.2712022367195</v>
      </c>
      <c r="Q234" t="str">
        <f t="shared" si="12"/>
        <v>Cheaper in UK</v>
      </c>
    </row>
    <row r="235" spans="1:17" x14ac:dyDescent="0.3">
      <c r="A235" t="s">
        <v>0</v>
      </c>
      <c r="B235">
        <v>69</v>
      </c>
      <c r="C235" t="s">
        <v>1</v>
      </c>
      <c r="D235">
        <v>3927</v>
      </c>
      <c r="E235">
        <v>123000</v>
      </c>
      <c r="F235">
        <v>1</v>
      </c>
      <c r="G235" s="4" t="s">
        <v>361</v>
      </c>
      <c r="H235" s="4" t="s">
        <v>362</v>
      </c>
      <c r="I235">
        <v>5300</v>
      </c>
      <c r="J235" s="7">
        <f t="shared" si="10"/>
        <v>10.758904109589041</v>
      </c>
      <c r="K235">
        <f t="shared" si="11"/>
        <v>11432.391138273491</v>
      </c>
      <c r="Q235" t="str">
        <f t="shared" si="12"/>
        <v>Cheaper in UK</v>
      </c>
    </row>
    <row r="236" spans="1:17" x14ac:dyDescent="0.3">
      <c r="A236" t="s">
        <v>0</v>
      </c>
      <c r="B236">
        <v>69</v>
      </c>
      <c r="C236" t="s">
        <v>1</v>
      </c>
      <c r="D236">
        <v>4077</v>
      </c>
      <c r="E236">
        <v>79890</v>
      </c>
      <c r="F236">
        <v>1</v>
      </c>
      <c r="G236" s="4" t="s">
        <v>363</v>
      </c>
      <c r="H236" s="4" t="s">
        <v>364</v>
      </c>
      <c r="I236">
        <v>5300</v>
      </c>
      <c r="J236" s="7">
        <f t="shared" si="10"/>
        <v>11.169863013698631</v>
      </c>
      <c r="K236">
        <f t="shared" si="11"/>
        <v>7152.2810890360552</v>
      </c>
      <c r="Q236" t="str">
        <f t="shared" si="12"/>
        <v>Cheaper in UK</v>
      </c>
    </row>
    <row r="237" spans="1:17" x14ac:dyDescent="0.3">
      <c r="A237" t="s">
        <v>4</v>
      </c>
      <c r="B237">
        <v>69</v>
      </c>
      <c r="C237" t="s">
        <v>7</v>
      </c>
      <c r="D237">
        <v>3623</v>
      </c>
      <c r="E237">
        <v>97000</v>
      </c>
      <c r="F237">
        <v>2</v>
      </c>
      <c r="G237" s="4" t="s">
        <v>22</v>
      </c>
      <c r="H237" s="4" t="s">
        <v>23</v>
      </c>
      <c r="I237">
        <v>5300</v>
      </c>
      <c r="J237" s="7">
        <f t="shared" si="10"/>
        <v>9.9260273972602739</v>
      </c>
      <c r="K237">
        <f t="shared" si="11"/>
        <v>9772.2881589842673</v>
      </c>
      <c r="Q237" t="str">
        <f t="shared" si="12"/>
        <v>More Expensive</v>
      </c>
    </row>
    <row r="238" spans="1:17" x14ac:dyDescent="0.3">
      <c r="A238" t="s">
        <v>0</v>
      </c>
      <c r="B238">
        <v>101</v>
      </c>
      <c r="C238" t="s">
        <v>1</v>
      </c>
      <c r="D238">
        <v>4077</v>
      </c>
      <c r="E238">
        <v>70555</v>
      </c>
      <c r="F238">
        <v>2</v>
      </c>
      <c r="G238" s="4" t="s">
        <v>11</v>
      </c>
      <c r="H238" s="4" t="s">
        <v>12</v>
      </c>
      <c r="I238">
        <v>5300</v>
      </c>
      <c r="J238" s="7">
        <f t="shared" si="10"/>
        <v>11.169863013698631</v>
      </c>
      <c r="K238">
        <f t="shared" si="11"/>
        <v>6316.5501594309535</v>
      </c>
      <c r="Q238" t="str">
        <f t="shared" si="12"/>
        <v>Cheaper in UK</v>
      </c>
    </row>
    <row r="239" spans="1:17" x14ac:dyDescent="0.3">
      <c r="A239" t="s">
        <v>4</v>
      </c>
      <c r="B239">
        <v>69</v>
      </c>
      <c r="C239" t="s">
        <v>1</v>
      </c>
      <c r="D239">
        <v>4261</v>
      </c>
      <c r="E239">
        <v>104000</v>
      </c>
      <c r="F239">
        <v>1</v>
      </c>
      <c r="G239" s="4" t="s">
        <v>365</v>
      </c>
      <c r="H239" s="4" t="s">
        <v>366</v>
      </c>
      <c r="I239">
        <v>5300</v>
      </c>
      <c r="J239" s="7">
        <f t="shared" si="10"/>
        <v>11.673972602739726</v>
      </c>
      <c r="K239">
        <f t="shared" si="11"/>
        <v>8908.7068763201132</v>
      </c>
      <c r="Q239" t="str">
        <f t="shared" si="12"/>
        <v>Cheaper in UK</v>
      </c>
    </row>
    <row r="240" spans="1:17" x14ac:dyDescent="0.3">
      <c r="A240" t="s">
        <v>4</v>
      </c>
      <c r="B240">
        <v>69</v>
      </c>
      <c r="C240" t="s">
        <v>1</v>
      </c>
      <c r="D240">
        <v>4108</v>
      </c>
      <c r="E240">
        <v>91801</v>
      </c>
      <c r="F240">
        <v>1</v>
      </c>
      <c r="G240" s="4" t="s">
        <v>367</v>
      </c>
      <c r="H240" s="4" t="s">
        <v>368</v>
      </c>
      <c r="I240">
        <v>5300</v>
      </c>
      <c r="J240" s="7">
        <f t="shared" si="10"/>
        <v>11.254794520547945</v>
      </c>
      <c r="K240">
        <f t="shared" si="11"/>
        <v>8156.6127069133399</v>
      </c>
      <c r="Q240" t="str">
        <f t="shared" si="12"/>
        <v>Cheaper in UK</v>
      </c>
    </row>
    <row r="241" spans="1:17" x14ac:dyDescent="0.3">
      <c r="A241" t="s">
        <v>10</v>
      </c>
      <c r="B241">
        <v>99</v>
      </c>
      <c r="C241" t="s">
        <v>1</v>
      </c>
      <c r="D241">
        <v>4627</v>
      </c>
      <c r="E241">
        <v>101000</v>
      </c>
      <c r="F241">
        <v>1</v>
      </c>
      <c r="G241" s="4" t="s">
        <v>369</v>
      </c>
      <c r="H241" s="4" t="s">
        <v>370</v>
      </c>
      <c r="I241">
        <v>5300</v>
      </c>
      <c r="J241" s="7">
        <f t="shared" si="10"/>
        <v>12.676712328767124</v>
      </c>
      <c r="K241">
        <f t="shared" si="11"/>
        <v>7967.3654635833145</v>
      </c>
      <c r="Q241" t="str">
        <f t="shared" si="12"/>
        <v>Cheaper in UK</v>
      </c>
    </row>
    <row r="242" spans="1:17" x14ac:dyDescent="0.3">
      <c r="A242" t="s">
        <v>4</v>
      </c>
      <c r="B242">
        <v>69</v>
      </c>
      <c r="C242" t="s">
        <v>1</v>
      </c>
      <c r="D242">
        <v>3531</v>
      </c>
      <c r="E242">
        <v>118000</v>
      </c>
      <c r="F242">
        <v>2</v>
      </c>
      <c r="G242" s="4" t="s">
        <v>371</v>
      </c>
      <c r="H242" s="4" t="s">
        <v>372</v>
      </c>
      <c r="I242">
        <v>5300</v>
      </c>
      <c r="J242" s="7">
        <f t="shared" si="10"/>
        <v>9.6739726027397257</v>
      </c>
      <c r="K242">
        <f t="shared" si="11"/>
        <v>12197.677711696404</v>
      </c>
      <c r="Q242" t="str">
        <f t="shared" si="12"/>
        <v>Cheaper in UK</v>
      </c>
    </row>
    <row r="243" spans="1:17" x14ac:dyDescent="0.3">
      <c r="A243" t="s">
        <v>10</v>
      </c>
      <c r="B243">
        <v>69</v>
      </c>
      <c r="C243" t="s">
        <v>1</v>
      </c>
      <c r="D243">
        <v>3258</v>
      </c>
      <c r="E243">
        <v>120000</v>
      </c>
      <c r="F243">
        <v>2</v>
      </c>
      <c r="G243" s="4" t="s">
        <v>373</v>
      </c>
      <c r="H243" s="4" t="s">
        <v>374</v>
      </c>
      <c r="I243">
        <v>5300</v>
      </c>
      <c r="J243" s="7">
        <f t="shared" si="10"/>
        <v>8.9260273972602739</v>
      </c>
      <c r="K243">
        <f t="shared" si="11"/>
        <v>13443.830570902393</v>
      </c>
      <c r="Q243" t="str">
        <f t="shared" si="12"/>
        <v>Cheaper in UK</v>
      </c>
    </row>
    <row r="244" spans="1:17" x14ac:dyDescent="0.3">
      <c r="A244" t="s">
        <v>4</v>
      </c>
      <c r="B244">
        <v>69</v>
      </c>
      <c r="C244" t="s">
        <v>1</v>
      </c>
      <c r="D244">
        <v>4292</v>
      </c>
      <c r="E244">
        <v>124000</v>
      </c>
      <c r="F244">
        <v>1</v>
      </c>
      <c r="G244" s="4" t="s">
        <v>11</v>
      </c>
      <c r="H244" s="4" t="s">
        <v>12</v>
      </c>
      <c r="I244">
        <v>5300</v>
      </c>
      <c r="J244" s="7">
        <f t="shared" si="10"/>
        <v>11.758904109589041</v>
      </c>
      <c r="K244">
        <f t="shared" si="11"/>
        <v>10545.200372786579</v>
      </c>
      <c r="Q244" t="str">
        <f t="shared" si="12"/>
        <v>Cheaper in UK</v>
      </c>
    </row>
    <row r="245" spans="1:17" x14ac:dyDescent="0.3">
      <c r="A245" t="s">
        <v>4</v>
      </c>
      <c r="B245">
        <v>69</v>
      </c>
      <c r="C245" t="s">
        <v>1</v>
      </c>
      <c r="D245">
        <v>4383</v>
      </c>
      <c r="E245">
        <v>122500</v>
      </c>
      <c r="F245">
        <v>2</v>
      </c>
      <c r="G245" s="4" t="s">
        <v>375</v>
      </c>
      <c r="H245" s="4" t="s">
        <v>376</v>
      </c>
      <c r="I245">
        <v>5300</v>
      </c>
      <c r="J245" s="7">
        <f t="shared" si="10"/>
        <v>12.008219178082191</v>
      </c>
      <c r="K245">
        <f t="shared" si="11"/>
        <v>10201.34610997034</v>
      </c>
      <c r="Q245" t="str">
        <f t="shared" si="12"/>
        <v>Cheaper in UK</v>
      </c>
    </row>
    <row r="246" spans="1:17" x14ac:dyDescent="0.3">
      <c r="A246" t="s">
        <v>4</v>
      </c>
      <c r="B246">
        <v>84</v>
      </c>
      <c r="C246" t="s">
        <v>1</v>
      </c>
      <c r="D246">
        <v>3500</v>
      </c>
      <c r="E246">
        <v>94000</v>
      </c>
      <c r="F246">
        <v>2</v>
      </c>
      <c r="G246" s="4" t="s">
        <v>203</v>
      </c>
      <c r="H246" s="4" t="s">
        <v>204</v>
      </c>
      <c r="I246">
        <v>5300</v>
      </c>
      <c r="J246" s="7">
        <f t="shared" si="10"/>
        <v>9.5890410958904102</v>
      </c>
      <c r="K246">
        <f t="shared" si="11"/>
        <v>9802.8571428571431</v>
      </c>
      <c r="Q246" t="str">
        <f t="shared" si="12"/>
        <v>Cheaper in UK</v>
      </c>
    </row>
    <row r="247" spans="1:17" x14ac:dyDescent="0.3">
      <c r="A247" t="s">
        <v>4</v>
      </c>
      <c r="B247">
        <v>69</v>
      </c>
      <c r="C247" t="s">
        <v>1</v>
      </c>
      <c r="D247">
        <v>4108</v>
      </c>
      <c r="E247">
        <v>119000</v>
      </c>
      <c r="F247">
        <v>2</v>
      </c>
      <c r="G247" s="4" t="s">
        <v>377</v>
      </c>
      <c r="H247" s="4" t="s">
        <v>378</v>
      </c>
      <c r="I247">
        <v>5300</v>
      </c>
      <c r="J247" s="7">
        <f t="shared" si="10"/>
        <v>11.254794520547945</v>
      </c>
      <c r="K247">
        <f t="shared" si="11"/>
        <v>10573.271665043818</v>
      </c>
      <c r="Q247" t="str">
        <f t="shared" si="12"/>
        <v>Cheaper in UK</v>
      </c>
    </row>
    <row r="248" spans="1:17" x14ac:dyDescent="0.3">
      <c r="A248" t="s">
        <v>0</v>
      </c>
      <c r="B248">
        <v>84</v>
      </c>
      <c r="C248" t="s">
        <v>1</v>
      </c>
      <c r="D248">
        <v>3105</v>
      </c>
      <c r="E248">
        <v>148000</v>
      </c>
      <c r="F248">
        <v>2</v>
      </c>
      <c r="G248" s="4" t="s">
        <v>379</v>
      </c>
      <c r="H248" s="4" t="s">
        <v>380</v>
      </c>
      <c r="I248">
        <v>5300</v>
      </c>
      <c r="J248" s="7">
        <f t="shared" si="10"/>
        <v>8.506849315068493</v>
      </c>
      <c r="K248">
        <f t="shared" si="11"/>
        <v>17397.745571658616</v>
      </c>
      <c r="Q248" t="str">
        <f t="shared" si="12"/>
        <v>Cheaper in UK</v>
      </c>
    </row>
    <row r="249" spans="1:17" x14ac:dyDescent="0.3">
      <c r="A249" t="s">
        <v>4</v>
      </c>
      <c r="B249">
        <v>99</v>
      </c>
      <c r="C249" t="s">
        <v>1</v>
      </c>
      <c r="D249">
        <v>4658</v>
      </c>
      <c r="E249">
        <v>131300</v>
      </c>
      <c r="F249">
        <v>2</v>
      </c>
      <c r="G249" s="4" t="s">
        <v>381</v>
      </c>
      <c r="H249" s="4" t="s">
        <v>382</v>
      </c>
      <c r="I249">
        <v>5300</v>
      </c>
      <c r="J249" s="7">
        <f t="shared" si="10"/>
        <v>12.761643835616438</v>
      </c>
      <c r="K249">
        <f t="shared" si="11"/>
        <v>10288.64319450408</v>
      </c>
      <c r="Q249" t="str">
        <f t="shared" si="12"/>
        <v>Cheaper in UK</v>
      </c>
    </row>
    <row r="250" spans="1:17" x14ac:dyDescent="0.3">
      <c r="A250" t="s">
        <v>0</v>
      </c>
      <c r="B250">
        <v>69</v>
      </c>
      <c r="C250" t="s">
        <v>1</v>
      </c>
      <c r="D250">
        <v>3865</v>
      </c>
      <c r="E250">
        <v>120500</v>
      </c>
      <c r="F250">
        <v>1</v>
      </c>
      <c r="G250" s="4" t="s">
        <v>291</v>
      </c>
      <c r="H250" s="4" t="s">
        <v>292</v>
      </c>
      <c r="I250">
        <v>5300</v>
      </c>
      <c r="J250" s="7">
        <f t="shared" si="10"/>
        <v>10.58904109589041</v>
      </c>
      <c r="K250">
        <f t="shared" si="11"/>
        <v>11379.689521345408</v>
      </c>
      <c r="Q250" t="str">
        <f t="shared" si="12"/>
        <v>Cheaper in UK</v>
      </c>
    </row>
    <row r="251" spans="1:17" x14ac:dyDescent="0.3">
      <c r="A251" t="s">
        <v>10</v>
      </c>
      <c r="B251">
        <v>69</v>
      </c>
      <c r="C251" t="s">
        <v>1</v>
      </c>
      <c r="D251">
        <v>4169</v>
      </c>
      <c r="E251">
        <v>83861</v>
      </c>
      <c r="F251">
        <v>1</v>
      </c>
      <c r="G251" s="4" t="s">
        <v>383</v>
      </c>
      <c r="H251" s="4" t="s">
        <v>384</v>
      </c>
      <c r="I251">
        <v>5300</v>
      </c>
      <c r="J251" s="7">
        <f t="shared" si="10"/>
        <v>11.421917808219177</v>
      </c>
      <c r="K251">
        <f t="shared" si="11"/>
        <v>7342.1120172703286</v>
      </c>
      <c r="Q251" t="str">
        <f t="shared" si="12"/>
        <v>Cheaper in UK</v>
      </c>
    </row>
    <row r="252" spans="1:17" x14ac:dyDescent="0.3">
      <c r="A252" t="s">
        <v>4</v>
      </c>
      <c r="B252">
        <v>69</v>
      </c>
      <c r="C252" t="s">
        <v>1</v>
      </c>
      <c r="D252">
        <v>4077</v>
      </c>
      <c r="E252">
        <v>168000</v>
      </c>
      <c r="F252">
        <v>2</v>
      </c>
      <c r="G252" s="4" t="s">
        <v>385</v>
      </c>
      <c r="H252" s="4" t="s">
        <v>386</v>
      </c>
      <c r="I252">
        <v>5350</v>
      </c>
      <c r="J252" s="7">
        <f t="shared" si="10"/>
        <v>11.169863013698631</v>
      </c>
      <c r="K252">
        <f t="shared" si="11"/>
        <v>15040.470934510668</v>
      </c>
      <c r="Q252" t="str">
        <f t="shared" si="12"/>
        <v>Cheaper in UK</v>
      </c>
    </row>
    <row r="253" spans="1:17" x14ac:dyDescent="0.3">
      <c r="A253" t="s">
        <v>4</v>
      </c>
      <c r="B253">
        <v>69</v>
      </c>
      <c r="C253" t="s">
        <v>7</v>
      </c>
      <c r="D253">
        <v>4322</v>
      </c>
      <c r="E253">
        <v>117000</v>
      </c>
      <c r="F253">
        <v>1</v>
      </c>
      <c r="G253" s="4" t="s">
        <v>20</v>
      </c>
      <c r="H253" s="4" t="s">
        <v>21</v>
      </c>
      <c r="I253">
        <v>5399</v>
      </c>
      <c r="J253" s="7">
        <f t="shared" si="10"/>
        <v>11.841095890410958</v>
      </c>
      <c r="K253">
        <f t="shared" si="11"/>
        <v>9880.8422026839435</v>
      </c>
      <c r="Q253" t="str">
        <f t="shared" si="12"/>
        <v>More Expensive</v>
      </c>
    </row>
    <row r="254" spans="1:17" x14ac:dyDescent="0.3">
      <c r="A254" t="s">
        <v>4</v>
      </c>
      <c r="B254">
        <v>69</v>
      </c>
      <c r="C254" t="s">
        <v>1</v>
      </c>
      <c r="D254">
        <v>3804</v>
      </c>
      <c r="E254">
        <v>87000</v>
      </c>
      <c r="F254">
        <v>2</v>
      </c>
      <c r="G254" s="4" t="s">
        <v>218</v>
      </c>
      <c r="H254" s="4" t="s">
        <v>219</v>
      </c>
      <c r="I254">
        <v>5399</v>
      </c>
      <c r="J254" s="7">
        <f t="shared" si="10"/>
        <v>10.421917808219177</v>
      </c>
      <c r="K254">
        <f t="shared" si="11"/>
        <v>8347.7917981072569</v>
      </c>
      <c r="Q254" t="str">
        <f t="shared" si="12"/>
        <v>Cheaper in UK</v>
      </c>
    </row>
    <row r="255" spans="1:17" x14ac:dyDescent="0.3">
      <c r="A255" t="s">
        <v>10</v>
      </c>
      <c r="B255">
        <v>69</v>
      </c>
      <c r="C255" t="s">
        <v>1</v>
      </c>
      <c r="D255">
        <v>3957</v>
      </c>
      <c r="E255">
        <v>144000</v>
      </c>
      <c r="F255">
        <v>2</v>
      </c>
      <c r="G255" s="4" t="s">
        <v>387</v>
      </c>
      <c r="H255" s="4" t="s">
        <v>388</v>
      </c>
      <c r="I255">
        <v>5399</v>
      </c>
      <c r="J255" s="7">
        <f t="shared" si="10"/>
        <v>10.841095890410958</v>
      </c>
      <c r="K255">
        <f t="shared" si="11"/>
        <v>13282.7899924185</v>
      </c>
      <c r="Q255" t="str">
        <f t="shared" si="12"/>
        <v>Cheaper in UK</v>
      </c>
    </row>
    <row r="256" spans="1:17" x14ac:dyDescent="0.3">
      <c r="A256" t="s">
        <v>10</v>
      </c>
      <c r="B256">
        <v>69</v>
      </c>
      <c r="C256" t="s">
        <v>1</v>
      </c>
      <c r="D256">
        <v>3653</v>
      </c>
      <c r="E256">
        <v>82500</v>
      </c>
      <c r="F256">
        <v>1</v>
      </c>
      <c r="G256" s="4" t="s">
        <v>389</v>
      </c>
      <c r="H256" s="4" t="s">
        <v>390</v>
      </c>
      <c r="I256">
        <v>5400</v>
      </c>
      <c r="J256" s="7">
        <f t="shared" si="10"/>
        <v>10.008219178082191</v>
      </c>
      <c r="K256">
        <f t="shared" si="11"/>
        <v>8243.2247467834659</v>
      </c>
      <c r="Q256" t="str">
        <f t="shared" si="12"/>
        <v>Cheaper in UK</v>
      </c>
    </row>
    <row r="257" spans="1:17" x14ac:dyDescent="0.3">
      <c r="A257" t="s">
        <v>10</v>
      </c>
      <c r="B257">
        <v>69</v>
      </c>
      <c r="C257" t="s">
        <v>1</v>
      </c>
      <c r="D257">
        <v>4414</v>
      </c>
      <c r="E257">
        <v>177000</v>
      </c>
      <c r="F257">
        <v>1</v>
      </c>
      <c r="G257" s="4" t="s">
        <v>391</v>
      </c>
      <c r="H257" s="4" t="s">
        <v>392</v>
      </c>
      <c r="I257">
        <v>5400</v>
      </c>
      <c r="J257" s="7">
        <f t="shared" si="10"/>
        <v>12.093150684931507</v>
      </c>
      <c r="K257">
        <f t="shared" si="11"/>
        <v>14636.384231989126</v>
      </c>
      <c r="Q257" t="str">
        <f t="shared" si="12"/>
        <v>Cheaper in UK</v>
      </c>
    </row>
    <row r="258" spans="1:17" x14ac:dyDescent="0.3">
      <c r="A258" t="s">
        <v>4</v>
      </c>
      <c r="B258">
        <v>69</v>
      </c>
      <c r="C258" t="s">
        <v>1</v>
      </c>
      <c r="D258">
        <v>3347</v>
      </c>
      <c r="E258">
        <v>133000</v>
      </c>
      <c r="F258">
        <v>2</v>
      </c>
      <c r="G258" s="5" t="s">
        <v>489</v>
      </c>
      <c r="H258" s="4" t="s">
        <v>393</v>
      </c>
      <c r="I258">
        <v>5400</v>
      </c>
      <c r="J258" s="7">
        <f t="shared" si="10"/>
        <v>9.169863013698631</v>
      </c>
      <c r="K258">
        <f t="shared" si="11"/>
        <v>14504.033462802508</v>
      </c>
      <c r="Q258" t="str">
        <f t="shared" si="12"/>
        <v>Cheaper in UK</v>
      </c>
    </row>
    <row r="259" spans="1:17" x14ac:dyDescent="0.3">
      <c r="A259" t="s">
        <v>10</v>
      </c>
      <c r="B259">
        <v>69</v>
      </c>
      <c r="C259" t="s">
        <v>1</v>
      </c>
      <c r="D259">
        <v>4353</v>
      </c>
      <c r="E259">
        <v>77457</v>
      </c>
      <c r="F259">
        <v>3</v>
      </c>
      <c r="G259" s="4" t="s">
        <v>96</v>
      </c>
      <c r="H259" s="4" t="s">
        <v>97</v>
      </c>
      <c r="I259">
        <v>5400</v>
      </c>
      <c r="J259" s="7">
        <f t="shared" ref="J259:J322" si="13">D259/365</f>
        <v>11.926027397260274</v>
      </c>
      <c r="K259">
        <f t="shared" ref="K259:K322" si="14">E259/J259</f>
        <v>6494.7863542384566</v>
      </c>
      <c r="Q259" t="str">
        <f t="shared" ref="Q259:Q322" si="15">IF(C259 = "manual", "Cheaper in UK","More Expensive")</f>
        <v>Cheaper in UK</v>
      </c>
    </row>
    <row r="260" spans="1:17" x14ac:dyDescent="0.3">
      <c r="A260" t="s">
        <v>4</v>
      </c>
      <c r="B260">
        <v>69</v>
      </c>
      <c r="C260" t="s">
        <v>1</v>
      </c>
      <c r="D260">
        <v>4474</v>
      </c>
      <c r="E260">
        <v>143900</v>
      </c>
      <c r="F260">
        <v>2</v>
      </c>
      <c r="G260" s="4" t="s">
        <v>233</v>
      </c>
      <c r="H260" s="4" t="s">
        <v>234</v>
      </c>
      <c r="I260">
        <v>5400</v>
      </c>
      <c r="J260" s="7">
        <f t="shared" si="13"/>
        <v>12.257534246575343</v>
      </c>
      <c r="K260">
        <f t="shared" si="14"/>
        <v>11739.718372820742</v>
      </c>
      <c r="Q260" t="str">
        <f t="shared" si="15"/>
        <v>Cheaper in UK</v>
      </c>
    </row>
    <row r="261" spans="1:17" x14ac:dyDescent="0.3">
      <c r="A261" t="s">
        <v>4</v>
      </c>
      <c r="B261">
        <v>69</v>
      </c>
      <c r="C261" t="s">
        <v>1</v>
      </c>
      <c r="D261">
        <v>3258</v>
      </c>
      <c r="E261">
        <v>136200</v>
      </c>
      <c r="F261">
        <v>2</v>
      </c>
      <c r="G261" s="5" t="s">
        <v>483</v>
      </c>
      <c r="H261" s="4" t="s">
        <v>305</v>
      </c>
      <c r="I261">
        <v>5400</v>
      </c>
      <c r="J261" s="7">
        <f t="shared" si="13"/>
        <v>8.9260273972602739</v>
      </c>
      <c r="K261">
        <f t="shared" si="14"/>
        <v>15258.747697974217</v>
      </c>
      <c r="Q261" t="str">
        <f t="shared" si="15"/>
        <v>Cheaper in UK</v>
      </c>
    </row>
    <row r="262" spans="1:17" x14ac:dyDescent="0.3">
      <c r="A262" t="s">
        <v>4</v>
      </c>
      <c r="B262">
        <v>69</v>
      </c>
      <c r="C262" t="s">
        <v>1</v>
      </c>
      <c r="D262">
        <v>3288</v>
      </c>
      <c r="E262">
        <v>128000</v>
      </c>
      <c r="F262">
        <v>1</v>
      </c>
      <c r="G262" s="4" t="s">
        <v>27</v>
      </c>
      <c r="H262" s="4" t="s">
        <v>28</v>
      </c>
      <c r="I262">
        <v>5400</v>
      </c>
      <c r="J262" s="7">
        <f t="shared" si="13"/>
        <v>9.0082191780821912</v>
      </c>
      <c r="K262">
        <f t="shared" si="14"/>
        <v>14209.245742092458</v>
      </c>
      <c r="Q262" t="str">
        <f t="shared" si="15"/>
        <v>Cheaper in UK</v>
      </c>
    </row>
    <row r="263" spans="1:17" x14ac:dyDescent="0.3">
      <c r="A263" t="s">
        <v>4</v>
      </c>
      <c r="B263">
        <v>69</v>
      </c>
      <c r="C263" t="s">
        <v>1</v>
      </c>
      <c r="D263">
        <v>3319</v>
      </c>
      <c r="E263">
        <v>161674</v>
      </c>
      <c r="F263">
        <v>1</v>
      </c>
      <c r="G263" s="4" t="s">
        <v>394</v>
      </c>
      <c r="H263" s="4" t="s">
        <v>395</v>
      </c>
      <c r="I263">
        <v>5400</v>
      </c>
      <c r="J263" s="7">
        <f t="shared" si="13"/>
        <v>9.0931506849315067</v>
      </c>
      <c r="K263">
        <f t="shared" si="14"/>
        <v>17779.755950587525</v>
      </c>
      <c r="Q263" t="str">
        <f t="shared" si="15"/>
        <v>Cheaper in UK</v>
      </c>
    </row>
    <row r="264" spans="1:17" x14ac:dyDescent="0.3">
      <c r="A264" t="s">
        <v>4</v>
      </c>
      <c r="B264">
        <v>69</v>
      </c>
      <c r="C264" t="s">
        <v>1</v>
      </c>
      <c r="D264">
        <v>3166</v>
      </c>
      <c r="E264">
        <v>98000</v>
      </c>
      <c r="F264">
        <v>1</v>
      </c>
      <c r="G264" s="4" t="s">
        <v>396</v>
      </c>
      <c r="H264" s="4" t="s">
        <v>397</v>
      </c>
      <c r="I264">
        <v>5400</v>
      </c>
      <c r="J264" s="7">
        <f t="shared" si="13"/>
        <v>8.6739726027397257</v>
      </c>
      <c r="K264">
        <f t="shared" si="14"/>
        <v>11298.168035375869</v>
      </c>
      <c r="Q264" t="str">
        <f t="shared" si="15"/>
        <v>Cheaper in UK</v>
      </c>
    </row>
    <row r="265" spans="1:17" x14ac:dyDescent="0.3">
      <c r="A265" t="s">
        <v>4</v>
      </c>
      <c r="B265">
        <v>69</v>
      </c>
      <c r="C265" t="s">
        <v>1</v>
      </c>
      <c r="D265">
        <v>4292</v>
      </c>
      <c r="E265">
        <v>97000</v>
      </c>
      <c r="F265">
        <v>1</v>
      </c>
      <c r="G265" s="4" t="s">
        <v>398</v>
      </c>
      <c r="H265" s="4" t="s">
        <v>399</v>
      </c>
      <c r="I265">
        <v>5400</v>
      </c>
      <c r="J265" s="7">
        <f t="shared" si="13"/>
        <v>11.758904109589041</v>
      </c>
      <c r="K265">
        <f t="shared" si="14"/>
        <v>8249.0680335507914</v>
      </c>
      <c r="Q265" t="str">
        <f t="shared" si="15"/>
        <v>Cheaper in UK</v>
      </c>
    </row>
    <row r="266" spans="1:17" x14ac:dyDescent="0.3">
      <c r="A266" t="s">
        <v>4</v>
      </c>
      <c r="B266">
        <v>69</v>
      </c>
      <c r="C266" t="s">
        <v>1</v>
      </c>
      <c r="D266">
        <v>2982</v>
      </c>
      <c r="E266">
        <v>124900</v>
      </c>
      <c r="F266">
        <v>1</v>
      </c>
      <c r="G266" s="4" t="s">
        <v>400</v>
      </c>
      <c r="H266" s="4" t="s">
        <v>401</v>
      </c>
      <c r="I266">
        <v>5450</v>
      </c>
      <c r="J266" s="7">
        <f t="shared" si="13"/>
        <v>8.169863013698631</v>
      </c>
      <c r="K266">
        <f t="shared" si="14"/>
        <v>15287.894030851776</v>
      </c>
      <c r="Q266" t="str">
        <f t="shared" si="15"/>
        <v>Cheaper in UK</v>
      </c>
    </row>
    <row r="267" spans="1:17" x14ac:dyDescent="0.3">
      <c r="A267" t="s">
        <v>4</v>
      </c>
      <c r="B267">
        <v>69</v>
      </c>
      <c r="C267" t="s">
        <v>1</v>
      </c>
      <c r="D267">
        <v>4627</v>
      </c>
      <c r="E267">
        <v>158222</v>
      </c>
      <c r="F267">
        <v>1</v>
      </c>
      <c r="G267" s="4" t="s">
        <v>402</v>
      </c>
      <c r="H267" s="4" t="s">
        <v>403</v>
      </c>
      <c r="I267">
        <v>5450</v>
      </c>
      <c r="J267" s="7">
        <f t="shared" si="13"/>
        <v>12.676712328767124</v>
      </c>
      <c r="K267">
        <f t="shared" si="14"/>
        <v>12481.311865139398</v>
      </c>
      <c r="Q267" t="str">
        <f t="shared" si="15"/>
        <v>Cheaper in UK</v>
      </c>
    </row>
    <row r="268" spans="1:17" x14ac:dyDescent="0.3">
      <c r="A268" t="s">
        <v>0</v>
      </c>
      <c r="B268">
        <v>69</v>
      </c>
      <c r="C268" t="s">
        <v>1</v>
      </c>
      <c r="D268">
        <v>4566</v>
      </c>
      <c r="E268">
        <v>86000</v>
      </c>
      <c r="F268">
        <v>2</v>
      </c>
      <c r="G268" s="4" t="s">
        <v>5</v>
      </c>
      <c r="H268" s="4" t="s">
        <v>6</v>
      </c>
      <c r="I268">
        <v>5450</v>
      </c>
      <c r="J268" s="7">
        <f t="shared" si="13"/>
        <v>12.509589041095891</v>
      </c>
      <c r="K268">
        <f t="shared" si="14"/>
        <v>6874.7262374069205</v>
      </c>
      <c r="Q268" t="str">
        <f t="shared" si="15"/>
        <v>Cheaper in UK</v>
      </c>
    </row>
    <row r="269" spans="1:17" x14ac:dyDescent="0.3">
      <c r="A269" t="s">
        <v>10</v>
      </c>
      <c r="B269">
        <v>69</v>
      </c>
      <c r="C269" t="s">
        <v>1</v>
      </c>
      <c r="D269">
        <v>3743</v>
      </c>
      <c r="E269">
        <v>68833</v>
      </c>
      <c r="F269">
        <v>2</v>
      </c>
      <c r="G269" s="4" t="s">
        <v>404</v>
      </c>
      <c r="H269" s="4" t="s">
        <v>405</v>
      </c>
      <c r="I269">
        <v>5490</v>
      </c>
      <c r="J269" s="7">
        <f t="shared" si="13"/>
        <v>10.254794520547945</v>
      </c>
      <c r="K269">
        <f t="shared" si="14"/>
        <v>6712.2749131712535</v>
      </c>
      <c r="Q269" t="str">
        <f t="shared" si="15"/>
        <v>Cheaper in UK</v>
      </c>
    </row>
    <row r="270" spans="1:17" x14ac:dyDescent="0.3">
      <c r="A270" t="s">
        <v>10</v>
      </c>
      <c r="B270">
        <v>69</v>
      </c>
      <c r="C270" t="s">
        <v>1</v>
      </c>
      <c r="D270">
        <v>3957</v>
      </c>
      <c r="E270">
        <v>38000</v>
      </c>
      <c r="F270">
        <v>1</v>
      </c>
      <c r="G270" s="4" t="s">
        <v>110</v>
      </c>
      <c r="H270" s="4" t="s">
        <v>111</v>
      </c>
      <c r="I270">
        <v>5490</v>
      </c>
      <c r="J270" s="7">
        <f t="shared" si="13"/>
        <v>10.841095890410958</v>
      </c>
      <c r="K270">
        <f t="shared" si="14"/>
        <v>3505.1806924437706</v>
      </c>
      <c r="Q270" t="str">
        <f t="shared" si="15"/>
        <v>Cheaper in UK</v>
      </c>
    </row>
    <row r="271" spans="1:17" x14ac:dyDescent="0.3">
      <c r="A271" t="s">
        <v>4</v>
      </c>
      <c r="B271">
        <v>69</v>
      </c>
      <c r="C271" t="s">
        <v>1</v>
      </c>
      <c r="D271">
        <v>4018</v>
      </c>
      <c r="E271">
        <v>83000</v>
      </c>
      <c r="F271">
        <v>2</v>
      </c>
      <c r="G271" s="5" t="s">
        <v>490</v>
      </c>
      <c r="H271" s="4" t="s">
        <v>406</v>
      </c>
      <c r="I271">
        <v>5490</v>
      </c>
      <c r="J271" s="7">
        <f t="shared" si="13"/>
        <v>11.008219178082191</v>
      </c>
      <c r="K271">
        <f t="shared" si="14"/>
        <v>7539.8208063713291</v>
      </c>
      <c r="Q271" t="str">
        <f t="shared" si="15"/>
        <v>Cheaper in UK</v>
      </c>
    </row>
    <row r="272" spans="1:17" x14ac:dyDescent="0.3">
      <c r="A272" t="s">
        <v>10</v>
      </c>
      <c r="B272">
        <v>69</v>
      </c>
      <c r="C272" t="s">
        <v>1</v>
      </c>
      <c r="D272">
        <v>4353</v>
      </c>
      <c r="E272">
        <v>140100</v>
      </c>
      <c r="F272">
        <v>1</v>
      </c>
      <c r="G272" s="4" t="s">
        <v>407</v>
      </c>
      <c r="H272" s="4" t="s">
        <v>408</v>
      </c>
      <c r="I272">
        <v>5490</v>
      </c>
      <c r="J272" s="7">
        <f t="shared" si="13"/>
        <v>11.926027397260274</v>
      </c>
      <c r="K272">
        <f t="shared" si="14"/>
        <v>11747.415575465197</v>
      </c>
      <c r="Q272" t="str">
        <f t="shared" si="15"/>
        <v>Cheaper in UK</v>
      </c>
    </row>
    <row r="273" spans="1:17" x14ac:dyDescent="0.3">
      <c r="A273" t="s">
        <v>0</v>
      </c>
      <c r="B273">
        <v>69</v>
      </c>
      <c r="C273" t="s">
        <v>1</v>
      </c>
      <c r="D273">
        <v>3500</v>
      </c>
      <c r="E273">
        <v>105026</v>
      </c>
      <c r="F273">
        <v>2</v>
      </c>
      <c r="G273" s="4" t="s">
        <v>409</v>
      </c>
      <c r="H273" s="4" t="s">
        <v>410</v>
      </c>
      <c r="I273">
        <v>5490</v>
      </c>
      <c r="J273" s="7">
        <f t="shared" si="13"/>
        <v>9.5890410958904102</v>
      </c>
      <c r="K273">
        <f t="shared" si="14"/>
        <v>10952.711428571429</v>
      </c>
      <c r="Q273" t="str">
        <f t="shared" si="15"/>
        <v>Cheaper in UK</v>
      </c>
    </row>
    <row r="274" spans="1:17" x14ac:dyDescent="0.3">
      <c r="A274" t="s">
        <v>4</v>
      </c>
      <c r="B274">
        <v>69</v>
      </c>
      <c r="C274" t="s">
        <v>1</v>
      </c>
      <c r="D274">
        <v>4049</v>
      </c>
      <c r="E274">
        <v>135000</v>
      </c>
      <c r="F274">
        <v>2</v>
      </c>
      <c r="G274" s="4" t="s">
        <v>11</v>
      </c>
      <c r="H274" s="4" t="s">
        <v>12</v>
      </c>
      <c r="I274">
        <v>5490</v>
      </c>
      <c r="J274" s="7">
        <f t="shared" si="13"/>
        <v>11.093150684931507</v>
      </c>
      <c r="K274">
        <f t="shared" si="14"/>
        <v>12169.671523833045</v>
      </c>
      <c r="Q274" t="str">
        <f t="shared" si="15"/>
        <v>Cheaper in UK</v>
      </c>
    </row>
    <row r="275" spans="1:17" x14ac:dyDescent="0.3">
      <c r="A275" t="s">
        <v>10</v>
      </c>
      <c r="B275">
        <v>84</v>
      </c>
      <c r="C275" t="s">
        <v>1</v>
      </c>
      <c r="D275">
        <v>3074</v>
      </c>
      <c r="E275">
        <v>79000</v>
      </c>
      <c r="F275">
        <v>2</v>
      </c>
      <c r="G275" s="4" t="s">
        <v>180</v>
      </c>
      <c r="H275" s="4" t="s">
        <v>181</v>
      </c>
      <c r="I275">
        <v>5499</v>
      </c>
      <c r="J275" s="7">
        <f t="shared" si="13"/>
        <v>8.4219178082191775</v>
      </c>
      <c r="K275">
        <f t="shared" si="14"/>
        <v>9380.2862719583609</v>
      </c>
      <c r="Q275" t="str">
        <f t="shared" si="15"/>
        <v>Cheaper in UK</v>
      </c>
    </row>
    <row r="276" spans="1:17" x14ac:dyDescent="0.3">
      <c r="A276" t="s">
        <v>4</v>
      </c>
      <c r="B276">
        <v>69</v>
      </c>
      <c r="C276" t="s">
        <v>7</v>
      </c>
      <c r="D276">
        <v>4230</v>
      </c>
      <c r="E276">
        <v>149000</v>
      </c>
      <c r="F276">
        <v>2</v>
      </c>
      <c r="G276" s="4" t="s">
        <v>295</v>
      </c>
      <c r="H276" s="4" t="s">
        <v>296</v>
      </c>
      <c r="I276">
        <v>5499</v>
      </c>
      <c r="J276" s="7">
        <f t="shared" si="13"/>
        <v>11.58904109589041</v>
      </c>
      <c r="K276">
        <f t="shared" si="14"/>
        <v>12856.973995271868</v>
      </c>
      <c r="Q276" t="str">
        <f t="shared" si="15"/>
        <v>More Expensive</v>
      </c>
    </row>
    <row r="277" spans="1:17" x14ac:dyDescent="0.3">
      <c r="A277" t="s">
        <v>4</v>
      </c>
      <c r="B277">
        <v>69</v>
      </c>
      <c r="C277" t="s">
        <v>1</v>
      </c>
      <c r="D277">
        <v>4443</v>
      </c>
      <c r="E277">
        <v>154000</v>
      </c>
      <c r="F277">
        <v>1</v>
      </c>
      <c r="G277" s="4" t="s">
        <v>411</v>
      </c>
      <c r="H277" s="4" t="s">
        <v>412</v>
      </c>
      <c r="I277">
        <v>5500</v>
      </c>
      <c r="J277" s="7">
        <f t="shared" si="13"/>
        <v>12.172602739726027</v>
      </c>
      <c r="K277">
        <f t="shared" si="14"/>
        <v>12651.361692550079</v>
      </c>
      <c r="Q277" t="str">
        <f t="shared" si="15"/>
        <v>Cheaper in UK</v>
      </c>
    </row>
    <row r="278" spans="1:17" x14ac:dyDescent="0.3">
      <c r="A278" t="s">
        <v>4</v>
      </c>
      <c r="B278">
        <v>69</v>
      </c>
      <c r="C278" t="s">
        <v>1</v>
      </c>
      <c r="D278">
        <v>3865</v>
      </c>
      <c r="E278">
        <v>95350</v>
      </c>
      <c r="F278">
        <v>1</v>
      </c>
      <c r="G278" s="4" t="s">
        <v>11</v>
      </c>
      <c r="H278" s="4" t="s">
        <v>12</v>
      </c>
      <c r="I278">
        <v>5500</v>
      </c>
      <c r="J278" s="7">
        <f t="shared" si="13"/>
        <v>10.58904109589041</v>
      </c>
      <c r="K278">
        <f t="shared" si="14"/>
        <v>9004.5924967658484</v>
      </c>
      <c r="Q278" t="str">
        <f t="shared" si="15"/>
        <v>Cheaper in UK</v>
      </c>
    </row>
    <row r="279" spans="1:17" x14ac:dyDescent="0.3">
      <c r="A279" t="s">
        <v>10</v>
      </c>
      <c r="B279">
        <v>101</v>
      </c>
      <c r="C279" t="s">
        <v>1</v>
      </c>
      <c r="D279">
        <v>4049</v>
      </c>
      <c r="E279">
        <v>137142</v>
      </c>
      <c r="F279">
        <v>1</v>
      </c>
      <c r="G279" s="4" t="s">
        <v>22</v>
      </c>
      <c r="H279" s="4" t="s">
        <v>23</v>
      </c>
      <c r="I279">
        <v>5500</v>
      </c>
      <c r="J279" s="7">
        <f t="shared" si="13"/>
        <v>11.093150684931507</v>
      </c>
      <c r="K279">
        <f t="shared" si="14"/>
        <v>12362.76364534453</v>
      </c>
      <c r="Q279" t="str">
        <f t="shared" si="15"/>
        <v>Cheaper in UK</v>
      </c>
    </row>
    <row r="280" spans="1:17" x14ac:dyDescent="0.3">
      <c r="A280" t="s">
        <v>4</v>
      </c>
      <c r="B280">
        <v>69</v>
      </c>
      <c r="C280" t="s">
        <v>1</v>
      </c>
      <c r="D280">
        <v>4169</v>
      </c>
      <c r="E280">
        <v>231873</v>
      </c>
      <c r="F280">
        <v>2</v>
      </c>
      <c r="G280" s="4" t="s">
        <v>413</v>
      </c>
      <c r="H280" s="4" t="s">
        <v>414</v>
      </c>
      <c r="I280">
        <v>5500</v>
      </c>
      <c r="J280" s="7">
        <f t="shared" si="13"/>
        <v>11.421917808219177</v>
      </c>
      <c r="K280">
        <f t="shared" si="14"/>
        <v>20300.70640441353</v>
      </c>
      <c r="Q280" t="str">
        <f t="shared" si="15"/>
        <v>Cheaper in UK</v>
      </c>
    </row>
    <row r="281" spans="1:17" x14ac:dyDescent="0.3">
      <c r="A281" t="s">
        <v>0</v>
      </c>
      <c r="B281">
        <v>69</v>
      </c>
      <c r="C281" t="s">
        <v>1</v>
      </c>
      <c r="D281">
        <v>2588</v>
      </c>
      <c r="E281">
        <v>88000</v>
      </c>
      <c r="F281">
        <v>2</v>
      </c>
      <c r="G281" s="5" t="s">
        <v>483</v>
      </c>
      <c r="H281" s="4" t="s">
        <v>305</v>
      </c>
      <c r="I281">
        <v>5500</v>
      </c>
      <c r="J281" s="7">
        <f t="shared" si="13"/>
        <v>7.0904109589041093</v>
      </c>
      <c r="K281">
        <f t="shared" si="14"/>
        <v>12411.12828438949</v>
      </c>
      <c r="Q281" t="str">
        <f t="shared" si="15"/>
        <v>Cheaper in UK</v>
      </c>
    </row>
    <row r="282" spans="1:17" x14ac:dyDescent="0.3">
      <c r="A282" t="s">
        <v>4</v>
      </c>
      <c r="B282">
        <v>69</v>
      </c>
      <c r="C282" t="s">
        <v>1</v>
      </c>
      <c r="D282">
        <v>3562</v>
      </c>
      <c r="E282">
        <v>96490</v>
      </c>
      <c r="F282">
        <v>1</v>
      </c>
      <c r="G282" s="4" t="s">
        <v>415</v>
      </c>
      <c r="H282" s="4" t="s">
        <v>416</v>
      </c>
      <c r="I282">
        <v>5500</v>
      </c>
      <c r="J282" s="7">
        <f t="shared" si="13"/>
        <v>9.7589041095890412</v>
      </c>
      <c r="K282">
        <f t="shared" si="14"/>
        <v>9887.380685008422</v>
      </c>
      <c r="Q282" t="str">
        <f t="shared" si="15"/>
        <v>Cheaper in UK</v>
      </c>
    </row>
    <row r="283" spans="1:17" x14ac:dyDescent="0.3">
      <c r="A283" t="s">
        <v>10</v>
      </c>
      <c r="B283">
        <v>69</v>
      </c>
      <c r="C283" t="s">
        <v>1</v>
      </c>
      <c r="D283">
        <v>4474</v>
      </c>
      <c r="E283">
        <v>90000</v>
      </c>
      <c r="F283">
        <v>1</v>
      </c>
      <c r="G283" s="4" t="s">
        <v>417</v>
      </c>
      <c r="H283" s="4" t="s">
        <v>418</v>
      </c>
      <c r="I283">
        <v>5500</v>
      </c>
      <c r="J283" s="7">
        <f t="shared" si="13"/>
        <v>12.257534246575343</v>
      </c>
      <c r="K283">
        <f t="shared" si="14"/>
        <v>7342.422887796155</v>
      </c>
      <c r="Q283" t="str">
        <f t="shared" si="15"/>
        <v>Cheaper in UK</v>
      </c>
    </row>
    <row r="284" spans="1:17" x14ac:dyDescent="0.3">
      <c r="A284" t="s">
        <v>4</v>
      </c>
      <c r="B284">
        <v>69</v>
      </c>
      <c r="C284" t="s">
        <v>1</v>
      </c>
      <c r="D284">
        <v>3957</v>
      </c>
      <c r="E284">
        <v>145000</v>
      </c>
      <c r="F284">
        <v>2</v>
      </c>
      <c r="G284" s="4" t="s">
        <v>419</v>
      </c>
      <c r="H284" s="4" t="s">
        <v>420</v>
      </c>
      <c r="I284">
        <v>5500</v>
      </c>
      <c r="J284" s="7">
        <f t="shared" si="13"/>
        <v>10.841095890410958</v>
      </c>
      <c r="K284">
        <f t="shared" si="14"/>
        <v>13375.031589588072</v>
      </c>
      <c r="Q284" t="str">
        <f t="shared" si="15"/>
        <v>Cheaper in UK</v>
      </c>
    </row>
    <row r="285" spans="1:17" x14ac:dyDescent="0.3">
      <c r="A285" t="s">
        <v>4</v>
      </c>
      <c r="B285">
        <v>101</v>
      </c>
      <c r="C285" t="s">
        <v>1</v>
      </c>
      <c r="D285">
        <v>4596</v>
      </c>
      <c r="E285">
        <v>121000</v>
      </c>
      <c r="F285">
        <v>2</v>
      </c>
      <c r="G285" s="4" t="s">
        <v>421</v>
      </c>
      <c r="H285" s="4" t="s">
        <v>422</v>
      </c>
      <c r="I285">
        <v>5500</v>
      </c>
      <c r="J285" s="7">
        <f t="shared" si="13"/>
        <v>12.591780821917808</v>
      </c>
      <c r="K285">
        <f t="shared" si="14"/>
        <v>9609.4429939077454</v>
      </c>
      <c r="Q285" t="str">
        <f t="shared" si="15"/>
        <v>Cheaper in UK</v>
      </c>
    </row>
    <row r="286" spans="1:17" x14ac:dyDescent="0.3">
      <c r="A286" t="s">
        <v>4</v>
      </c>
      <c r="B286">
        <v>69</v>
      </c>
      <c r="C286" t="s">
        <v>1</v>
      </c>
      <c r="D286">
        <v>3684</v>
      </c>
      <c r="E286">
        <v>110000</v>
      </c>
      <c r="F286">
        <v>2</v>
      </c>
      <c r="G286" s="4" t="s">
        <v>423</v>
      </c>
      <c r="H286" s="4" t="s">
        <v>424</v>
      </c>
      <c r="I286">
        <v>5500</v>
      </c>
      <c r="J286" s="7">
        <f t="shared" si="13"/>
        <v>10.093150684931507</v>
      </c>
      <c r="K286">
        <f t="shared" si="14"/>
        <v>10898.479913137893</v>
      </c>
      <c r="Q286" t="str">
        <f t="shared" si="15"/>
        <v>Cheaper in UK</v>
      </c>
    </row>
    <row r="287" spans="1:17" x14ac:dyDescent="0.3">
      <c r="A287" t="s">
        <v>4</v>
      </c>
      <c r="B287">
        <v>69</v>
      </c>
      <c r="C287" t="s">
        <v>1</v>
      </c>
      <c r="D287">
        <v>3409</v>
      </c>
      <c r="E287">
        <v>99556</v>
      </c>
      <c r="F287">
        <v>1</v>
      </c>
      <c r="G287" s="5" t="s">
        <v>491</v>
      </c>
      <c r="H287" s="4" t="s">
        <v>425</v>
      </c>
      <c r="I287">
        <v>5500</v>
      </c>
      <c r="J287" s="7">
        <f t="shared" si="13"/>
        <v>9.3397260273972602</v>
      </c>
      <c r="K287">
        <f t="shared" si="14"/>
        <v>10659.413317688472</v>
      </c>
      <c r="Q287" t="str">
        <f t="shared" si="15"/>
        <v>Cheaper in UK</v>
      </c>
    </row>
    <row r="288" spans="1:17" x14ac:dyDescent="0.3">
      <c r="A288" t="s">
        <v>4</v>
      </c>
      <c r="B288">
        <v>69</v>
      </c>
      <c r="C288" t="s">
        <v>1</v>
      </c>
      <c r="D288">
        <v>4474</v>
      </c>
      <c r="E288">
        <v>55976</v>
      </c>
      <c r="F288">
        <v>2</v>
      </c>
      <c r="G288" s="4" t="s">
        <v>426</v>
      </c>
      <c r="H288" s="4" t="s">
        <v>427</v>
      </c>
      <c r="I288">
        <v>5500</v>
      </c>
      <c r="J288" s="7">
        <f t="shared" si="13"/>
        <v>12.257534246575343</v>
      </c>
      <c r="K288">
        <f t="shared" si="14"/>
        <v>4566.6607063030842</v>
      </c>
      <c r="Q288" t="str">
        <f t="shared" si="15"/>
        <v>Cheaper in UK</v>
      </c>
    </row>
    <row r="289" spans="1:17" x14ac:dyDescent="0.3">
      <c r="A289" t="s">
        <v>4</v>
      </c>
      <c r="B289">
        <v>69</v>
      </c>
      <c r="C289" t="s">
        <v>1</v>
      </c>
      <c r="D289">
        <v>4200</v>
      </c>
      <c r="E289">
        <v>134717</v>
      </c>
      <c r="F289">
        <v>1</v>
      </c>
      <c r="G289" s="4" t="s">
        <v>291</v>
      </c>
      <c r="H289" s="4" t="s">
        <v>461</v>
      </c>
      <c r="I289">
        <v>5500</v>
      </c>
      <c r="J289" s="7">
        <f t="shared" si="13"/>
        <v>11.506849315068493</v>
      </c>
      <c r="K289">
        <f t="shared" si="14"/>
        <v>11707.548809523809</v>
      </c>
      <c r="Q289" t="str">
        <f t="shared" si="15"/>
        <v>Cheaper in UK</v>
      </c>
    </row>
    <row r="290" spans="1:17" x14ac:dyDescent="0.3">
      <c r="A290" t="s">
        <v>4</v>
      </c>
      <c r="B290">
        <v>69</v>
      </c>
      <c r="C290" t="s">
        <v>1</v>
      </c>
      <c r="D290">
        <v>3470</v>
      </c>
      <c r="E290">
        <v>113344</v>
      </c>
      <c r="F290">
        <v>1</v>
      </c>
      <c r="G290" s="4" t="s">
        <v>428</v>
      </c>
      <c r="H290" s="4" t="s">
        <v>429</v>
      </c>
      <c r="I290">
        <v>5500</v>
      </c>
      <c r="J290" s="7">
        <f t="shared" si="13"/>
        <v>9.506849315068493</v>
      </c>
      <c r="K290">
        <f t="shared" si="14"/>
        <v>11922.35158501441</v>
      </c>
      <c r="Q290" t="str">
        <f t="shared" si="15"/>
        <v>Cheaper in UK</v>
      </c>
    </row>
    <row r="291" spans="1:17" x14ac:dyDescent="0.3">
      <c r="A291" t="s">
        <v>0</v>
      </c>
      <c r="B291">
        <v>69</v>
      </c>
      <c r="C291" t="s">
        <v>7</v>
      </c>
      <c r="D291">
        <v>3712</v>
      </c>
      <c r="E291">
        <v>130000</v>
      </c>
      <c r="F291">
        <v>1</v>
      </c>
      <c r="G291" s="4" t="s">
        <v>430</v>
      </c>
      <c r="H291" s="4" t="s">
        <v>431</v>
      </c>
      <c r="I291">
        <v>5500</v>
      </c>
      <c r="J291" s="7">
        <f t="shared" si="13"/>
        <v>10.169863013698631</v>
      </c>
      <c r="K291">
        <f t="shared" si="14"/>
        <v>12782.866379310344</v>
      </c>
      <c r="Q291" t="str">
        <f t="shared" si="15"/>
        <v>More Expensive</v>
      </c>
    </row>
    <row r="292" spans="1:17" x14ac:dyDescent="0.3">
      <c r="A292" t="s">
        <v>4</v>
      </c>
      <c r="B292">
        <v>99</v>
      </c>
      <c r="C292" t="s">
        <v>1</v>
      </c>
      <c r="D292">
        <v>4566</v>
      </c>
      <c r="E292">
        <v>96000</v>
      </c>
      <c r="F292">
        <v>1</v>
      </c>
      <c r="G292" s="4" t="s">
        <v>432</v>
      </c>
      <c r="H292" s="4" t="s">
        <v>433</v>
      </c>
      <c r="I292">
        <v>5500</v>
      </c>
      <c r="J292" s="7">
        <f t="shared" si="13"/>
        <v>12.509589041095891</v>
      </c>
      <c r="K292">
        <f t="shared" si="14"/>
        <v>7674.1130091984223</v>
      </c>
      <c r="Q292" t="str">
        <f t="shared" si="15"/>
        <v>Cheaper in UK</v>
      </c>
    </row>
    <row r="293" spans="1:17" x14ac:dyDescent="0.3">
      <c r="A293" t="s">
        <v>4</v>
      </c>
      <c r="B293">
        <v>99</v>
      </c>
      <c r="C293" t="s">
        <v>1</v>
      </c>
      <c r="D293">
        <v>4566</v>
      </c>
      <c r="E293">
        <v>78000</v>
      </c>
      <c r="F293">
        <v>1</v>
      </c>
      <c r="G293" s="4" t="s">
        <v>22</v>
      </c>
      <c r="H293" s="4" t="s">
        <v>23</v>
      </c>
      <c r="I293">
        <v>5800</v>
      </c>
      <c r="J293" s="7">
        <f t="shared" si="13"/>
        <v>12.509589041095891</v>
      </c>
      <c r="K293">
        <f t="shared" si="14"/>
        <v>6235.216819973718</v>
      </c>
      <c r="Q293" t="str">
        <f t="shared" si="15"/>
        <v>Cheaper in UK</v>
      </c>
    </row>
    <row r="294" spans="1:17" x14ac:dyDescent="0.3">
      <c r="A294" t="s">
        <v>4</v>
      </c>
      <c r="B294">
        <v>69</v>
      </c>
      <c r="C294" t="s">
        <v>1</v>
      </c>
      <c r="D294">
        <v>3500</v>
      </c>
      <c r="E294">
        <v>121000</v>
      </c>
      <c r="F294">
        <v>2</v>
      </c>
      <c r="G294" s="4" t="s">
        <v>24</v>
      </c>
      <c r="H294" s="4" t="s">
        <v>444</v>
      </c>
      <c r="I294">
        <v>5850</v>
      </c>
      <c r="J294" s="7">
        <f t="shared" si="13"/>
        <v>9.5890410958904102</v>
      </c>
      <c r="K294">
        <f t="shared" si="14"/>
        <v>12618.571428571429</v>
      </c>
      <c r="Q294" t="str">
        <f t="shared" si="15"/>
        <v>Cheaper in UK</v>
      </c>
    </row>
    <row r="295" spans="1:17" x14ac:dyDescent="0.3">
      <c r="A295" t="s">
        <v>4</v>
      </c>
      <c r="B295">
        <v>69</v>
      </c>
      <c r="C295" t="s">
        <v>1</v>
      </c>
      <c r="D295">
        <v>3197</v>
      </c>
      <c r="E295">
        <v>51083</v>
      </c>
      <c r="F295">
        <v>2</v>
      </c>
      <c r="G295" s="4" t="s">
        <v>25</v>
      </c>
      <c r="H295" s="4" t="s">
        <v>26</v>
      </c>
      <c r="I295">
        <v>5880</v>
      </c>
      <c r="J295" s="7">
        <f t="shared" si="13"/>
        <v>8.7589041095890412</v>
      </c>
      <c r="K295">
        <f t="shared" si="14"/>
        <v>5832.1223021582737</v>
      </c>
      <c r="Q295" t="str">
        <f t="shared" si="15"/>
        <v>Cheaper in UK</v>
      </c>
    </row>
    <row r="296" spans="1:17" x14ac:dyDescent="0.3">
      <c r="A296" t="s">
        <v>4</v>
      </c>
      <c r="B296">
        <v>69</v>
      </c>
      <c r="C296" t="s">
        <v>1</v>
      </c>
      <c r="D296">
        <v>2251</v>
      </c>
      <c r="E296">
        <v>87000</v>
      </c>
      <c r="F296">
        <v>2</v>
      </c>
      <c r="G296" s="4" t="s">
        <v>5</v>
      </c>
      <c r="H296" s="4" t="s">
        <v>6</v>
      </c>
      <c r="I296">
        <v>5990</v>
      </c>
      <c r="J296" s="7">
        <f t="shared" si="13"/>
        <v>6.1671232876712327</v>
      </c>
      <c r="K296">
        <f t="shared" si="14"/>
        <v>14107.06352732119</v>
      </c>
      <c r="Q296" t="str">
        <f t="shared" si="15"/>
        <v>Cheaper in UK</v>
      </c>
    </row>
    <row r="297" spans="1:17" x14ac:dyDescent="0.3">
      <c r="A297" t="s">
        <v>0</v>
      </c>
      <c r="B297">
        <v>69</v>
      </c>
      <c r="C297" t="s">
        <v>1</v>
      </c>
      <c r="D297">
        <v>3774</v>
      </c>
      <c r="E297">
        <v>79000</v>
      </c>
      <c r="F297">
        <v>1</v>
      </c>
      <c r="G297" s="4" t="s">
        <v>27</v>
      </c>
      <c r="H297" s="4" t="s">
        <v>28</v>
      </c>
      <c r="I297">
        <v>6300</v>
      </c>
      <c r="J297" s="7">
        <f t="shared" si="13"/>
        <v>10.33972602739726</v>
      </c>
      <c r="K297">
        <f t="shared" si="14"/>
        <v>7640.4345521992582</v>
      </c>
      <c r="Q297" t="str">
        <f t="shared" si="15"/>
        <v>Cheaper in UK</v>
      </c>
    </row>
    <row r="298" spans="1:17" x14ac:dyDescent="0.3">
      <c r="A298" t="s">
        <v>4</v>
      </c>
      <c r="B298">
        <v>69</v>
      </c>
      <c r="C298" t="s">
        <v>1</v>
      </c>
      <c r="D298">
        <v>4018</v>
      </c>
      <c r="E298">
        <v>101156</v>
      </c>
      <c r="F298">
        <v>1</v>
      </c>
      <c r="G298" s="4" t="s">
        <v>29</v>
      </c>
      <c r="H298" s="4" t="s">
        <v>30</v>
      </c>
      <c r="I298">
        <v>6499</v>
      </c>
      <c r="J298" s="7">
        <f t="shared" si="13"/>
        <v>11.008219178082191</v>
      </c>
      <c r="K298">
        <f t="shared" si="14"/>
        <v>9189.1338974614246</v>
      </c>
      <c r="Q298" t="str">
        <f t="shared" si="15"/>
        <v>Cheaper in UK</v>
      </c>
    </row>
    <row r="299" spans="1:17" x14ac:dyDescent="0.3">
      <c r="A299" t="s">
        <v>0</v>
      </c>
      <c r="B299">
        <v>69</v>
      </c>
      <c r="C299" t="s">
        <v>1</v>
      </c>
      <c r="D299">
        <v>2922</v>
      </c>
      <c r="E299">
        <v>31350</v>
      </c>
      <c r="F299">
        <v>1</v>
      </c>
      <c r="G299" s="4" t="s">
        <v>31</v>
      </c>
      <c r="H299" s="4" t="s">
        <v>32</v>
      </c>
      <c r="I299">
        <v>6500</v>
      </c>
      <c r="J299" s="7">
        <f t="shared" si="13"/>
        <v>8.0054794520547947</v>
      </c>
      <c r="K299">
        <f t="shared" si="14"/>
        <v>3916.0677618069813</v>
      </c>
      <c r="Q299" t="str">
        <f t="shared" si="15"/>
        <v>Cheaper in UK</v>
      </c>
    </row>
    <row r="300" spans="1:17" x14ac:dyDescent="0.3">
      <c r="A300" t="s">
        <v>10</v>
      </c>
      <c r="B300">
        <v>69</v>
      </c>
      <c r="C300" t="s">
        <v>1</v>
      </c>
      <c r="D300">
        <v>2588</v>
      </c>
      <c r="E300">
        <v>71553</v>
      </c>
      <c r="F300">
        <v>1</v>
      </c>
      <c r="G300" s="4" t="s">
        <v>11</v>
      </c>
      <c r="H300" s="4" t="s">
        <v>12</v>
      </c>
      <c r="I300">
        <v>6700</v>
      </c>
      <c r="J300" s="7">
        <f t="shared" si="13"/>
        <v>7.0904109589041093</v>
      </c>
      <c r="K300">
        <f t="shared" si="14"/>
        <v>10091.516615146831</v>
      </c>
      <c r="Q300" t="str">
        <f t="shared" si="15"/>
        <v>Cheaper in UK</v>
      </c>
    </row>
    <row r="301" spans="1:17" x14ac:dyDescent="0.3">
      <c r="A301" t="s">
        <v>4</v>
      </c>
      <c r="B301">
        <v>69</v>
      </c>
      <c r="C301" t="s">
        <v>1</v>
      </c>
      <c r="D301">
        <v>2647</v>
      </c>
      <c r="E301">
        <v>50000</v>
      </c>
      <c r="F301">
        <v>2</v>
      </c>
      <c r="G301" s="4" t="s">
        <v>33</v>
      </c>
      <c r="H301" s="4" t="s">
        <v>34</v>
      </c>
      <c r="I301">
        <v>6900</v>
      </c>
      <c r="J301" s="7">
        <f t="shared" si="13"/>
        <v>7.2520547945205482</v>
      </c>
      <c r="K301">
        <f t="shared" si="14"/>
        <v>6894.597657725727</v>
      </c>
      <c r="Q301" t="str">
        <f t="shared" si="15"/>
        <v>Cheaper in UK</v>
      </c>
    </row>
    <row r="302" spans="1:17" x14ac:dyDescent="0.3">
      <c r="A302" t="s">
        <v>4</v>
      </c>
      <c r="B302">
        <v>99</v>
      </c>
      <c r="C302" t="s">
        <v>7</v>
      </c>
      <c r="D302">
        <v>3592</v>
      </c>
      <c r="E302">
        <v>74903</v>
      </c>
      <c r="F302">
        <v>1</v>
      </c>
      <c r="G302" s="4" t="s">
        <v>35</v>
      </c>
      <c r="H302" s="4" t="s">
        <v>36</v>
      </c>
      <c r="I302">
        <v>6900</v>
      </c>
      <c r="J302" s="7">
        <f t="shared" si="13"/>
        <v>9.8410958904109584</v>
      </c>
      <c r="K302">
        <f t="shared" si="14"/>
        <v>7611.2458240534525</v>
      </c>
      <c r="Q302" t="str">
        <f t="shared" si="15"/>
        <v>More Expensive</v>
      </c>
    </row>
    <row r="303" spans="1:17" x14ac:dyDescent="0.3">
      <c r="A303" t="s">
        <v>4</v>
      </c>
      <c r="B303">
        <v>69</v>
      </c>
      <c r="C303" t="s">
        <v>7</v>
      </c>
      <c r="D303">
        <v>2922</v>
      </c>
      <c r="E303">
        <v>87000</v>
      </c>
      <c r="F303">
        <v>2</v>
      </c>
      <c r="G303" s="4" t="s">
        <v>37</v>
      </c>
      <c r="H303" s="4" t="s">
        <v>38</v>
      </c>
      <c r="I303">
        <v>6900</v>
      </c>
      <c r="J303" s="7">
        <f t="shared" si="13"/>
        <v>8.0054794520547947</v>
      </c>
      <c r="K303">
        <f t="shared" si="14"/>
        <v>10867.556468172485</v>
      </c>
      <c r="Q303" t="str">
        <f t="shared" si="15"/>
        <v>More Expensive</v>
      </c>
    </row>
    <row r="304" spans="1:17" x14ac:dyDescent="0.3">
      <c r="A304" t="s">
        <v>4</v>
      </c>
      <c r="B304">
        <v>69</v>
      </c>
      <c r="C304" t="s">
        <v>1</v>
      </c>
      <c r="D304">
        <v>2070</v>
      </c>
      <c r="E304">
        <v>114000</v>
      </c>
      <c r="F304">
        <v>1</v>
      </c>
      <c r="G304" s="4" t="s">
        <v>39</v>
      </c>
      <c r="H304" s="4" t="s">
        <v>40</v>
      </c>
      <c r="I304">
        <v>7000</v>
      </c>
      <c r="J304" s="7">
        <f t="shared" si="13"/>
        <v>5.6712328767123283</v>
      </c>
      <c r="K304">
        <f t="shared" si="14"/>
        <v>20101.44927536232</v>
      </c>
      <c r="Q304" t="str">
        <f t="shared" si="15"/>
        <v>Cheaper in UK</v>
      </c>
    </row>
    <row r="305" spans="1:17" x14ac:dyDescent="0.3">
      <c r="A305" t="s">
        <v>4</v>
      </c>
      <c r="B305">
        <v>69</v>
      </c>
      <c r="C305" t="s">
        <v>1</v>
      </c>
      <c r="D305">
        <v>1096</v>
      </c>
      <c r="E305">
        <v>61197</v>
      </c>
      <c r="F305">
        <v>2</v>
      </c>
      <c r="G305" s="4" t="s">
        <v>11</v>
      </c>
      <c r="H305" s="4" t="s">
        <v>12</v>
      </c>
      <c r="I305">
        <v>7100</v>
      </c>
      <c r="J305" s="7">
        <f t="shared" si="13"/>
        <v>3.0027397260273974</v>
      </c>
      <c r="K305">
        <f t="shared" si="14"/>
        <v>20380.387773722628</v>
      </c>
      <c r="Q305" t="str">
        <f t="shared" si="15"/>
        <v>Cheaper in UK</v>
      </c>
    </row>
    <row r="306" spans="1:17" x14ac:dyDescent="0.3">
      <c r="A306" t="s">
        <v>4</v>
      </c>
      <c r="B306">
        <v>69</v>
      </c>
      <c r="C306" t="s">
        <v>1</v>
      </c>
      <c r="D306">
        <v>1096</v>
      </c>
      <c r="E306">
        <v>62214</v>
      </c>
      <c r="F306">
        <v>2</v>
      </c>
      <c r="G306" s="4" t="s">
        <v>11</v>
      </c>
      <c r="H306" s="4" t="s">
        <v>12</v>
      </c>
      <c r="I306">
        <v>7100</v>
      </c>
      <c r="J306" s="7">
        <f t="shared" si="13"/>
        <v>3.0027397260273974</v>
      </c>
      <c r="K306">
        <f t="shared" si="14"/>
        <v>20719.078467153286</v>
      </c>
      <c r="Q306" t="str">
        <f t="shared" si="15"/>
        <v>Cheaper in UK</v>
      </c>
    </row>
    <row r="307" spans="1:17" x14ac:dyDescent="0.3">
      <c r="A307" t="s">
        <v>4</v>
      </c>
      <c r="B307">
        <v>69</v>
      </c>
      <c r="C307" t="s">
        <v>1</v>
      </c>
      <c r="D307">
        <v>2527</v>
      </c>
      <c r="E307">
        <v>48000</v>
      </c>
      <c r="F307">
        <v>1</v>
      </c>
      <c r="G307" s="4" t="s">
        <v>41</v>
      </c>
      <c r="H307" s="4" t="s">
        <v>42</v>
      </c>
      <c r="I307">
        <v>7200</v>
      </c>
      <c r="J307" s="7">
        <f t="shared" si="13"/>
        <v>6.9232876712328766</v>
      </c>
      <c r="K307">
        <f t="shared" si="14"/>
        <v>6933.1222793826673</v>
      </c>
      <c r="Q307" t="str">
        <f t="shared" si="15"/>
        <v>Cheaper in UK</v>
      </c>
    </row>
    <row r="308" spans="1:17" x14ac:dyDescent="0.3">
      <c r="A308" t="s">
        <v>4</v>
      </c>
      <c r="B308">
        <v>69</v>
      </c>
      <c r="C308" t="s">
        <v>1</v>
      </c>
      <c r="D308">
        <v>2251</v>
      </c>
      <c r="E308">
        <v>73453</v>
      </c>
      <c r="F308">
        <v>4</v>
      </c>
      <c r="G308" s="4" t="s">
        <v>43</v>
      </c>
      <c r="H308" s="4" t="s">
        <v>44</v>
      </c>
      <c r="I308">
        <v>7300</v>
      </c>
      <c r="J308" s="7">
        <f t="shared" si="13"/>
        <v>6.1671232876712327</v>
      </c>
      <c r="K308">
        <f t="shared" si="14"/>
        <v>11910.415370946246</v>
      </c>
      <c r="Q308" t="str">
        <f t="shared" si="15"/>
        <v>Cheaper in UK</v>
      </c>
    </row>
    <row r="309" spans="1:17" x14ac:dyDescent="0.3">
      <c r="A309" t="s">
        <v>4</v>
      </c>
      <c r="B309">
        <v>69</v>
      </c>
      <c r="C309" t="s">
        <v>1</v>
      </c>
      <c r="D309">
        <v>1066</v>
      </c>
      <c r="E309">
        <v>59961</v>
      </c>
      <c r="F309">
        <v>2</v>
      </c>
      <c r="G309" s="4" t="s">
        <v>11</v>
      </c>
      <c r="H309" s="4" t="s">
        <v>12</v>
      </c>
      <c r="I309">
        <v>7480</v>
      </c>
      <c r="J309" s="7">
        <f t="shared" si="13"/>
        <v>2.9205479452054797</v>
      </c>
      <c r="K309">
        <f t="shared" si="14"/>
        <v>20530.736397748591</v>
      </c>
      <c r="Q309" t="str">
        <f t="shared" si="15"/>
        <v>Cheaper in UK</v>
      </c>
    </row>
    <row r="310" spans="1:17" x14ac:dyDescent="0.3">
      <c r="A310" t="s">
        <v>4</v>
      </c>
      <c r="B310">
        <v>69</v>
      </c>
      <c r="C310" t="s">
        <v>1</v>
      </c>
      <c r="D310">
        <v>1066</v>
      </c>
      <c r="E310">
        <v>59961</v>
      </c>
      <c r="F310">
        <v>2</v>
      </c>
      <c r="G310" s="4" t="s">
        <v>25</v>
      </c>
      <c r="H310" s="4" t="s">
        <v>26</v>
      </c>
      <c r="I310">
        <v>7480</v>
      </c>
      <c r="J310" s="7">
        <f t="shared" si="13"/>
        <v>2.9205479452054797</v>
      </c>
      <c r="K310">
        <f t="shared" si="14"/>
        <v>20530.736397748591</v>
      </c>
      <c r="Q310" t="str">
        <f t="shared" si="15"/>
        <v>Cheaper in UK</v>
      </c>
    </row>
    <row r="311" spans="1:17" x14ac:dyDescent="0.3">
      <c r="A311" t="s">
        <v>10</v>
      </c>
      <c r="B311">
        <v>69</v>
      </c>
      <c r="C311" t="s">
        <v>1</v>
      </c>
      <c r="D311">
        <v>2739</v>
      </c>
      <c r="E311">
        <v>77149</v>
      </c>
      <c r="F311">
        <v>3</v>
      </c>
      <c r="G311" s="4" t="s">
        <v>45</v>
      </c>
      <c r="H311" s="4" t="s">
        <v>46</v>
      </c>
      <c r="I311">
        <v>7800</v>
      </c>
      <c r="J311" s="7">
        <f t="shared" si="13"/>
        <v>7.5041095890410956</v>
      </c>
      <c r="K311">
        <f t="shared" si="14"/>
        <v>10280.899963490325</v>
      </c>
      <c r="Q311" t="str">
        <f t="shared" si="15"/>
        <v>Cheaper in UK</v>
      </c>
    </row>
    <row r="312" spans="1:17" x14ac:dyDescent="0.3">
      <c r="A312" t="s">
        <v>4</v>
      </c>
      <c r="B312">
        <v>69</v>
      </c>
      <c r="C312" t="s">
        <v>1</v>
      </c>
      <c r="D312">
        <v>1096</v>
      </c>
      <c r="E312">
        <v>57000</v>
      </c>
      <c r="F312">
        <v>2</v>
      </c>
      <c r="G312" s="4" t="s">
        <v>22</v>
      </c>
      <c r="H312" s="4" t="s">
        <v>23</v>
      </c>
      <c r="I312">
        <v>7900</v>
      </c>
      <c r="J312" s="7">
        <f t="shared" si="13"/>
        <v>3.0027397260273974</v>
      </c>
      <c r="K312">
        <f t="shared" si="14"/>
        <v>18982.664233576641</v>
      </c>
      <c r="Q312" t="str">
        <f t="shared" si="15"/>
        <v>Cheaper in UK</v>
      </c>
    </row>
    <row r="313" spans="1:17" x14ac:dyDescent="0.3">
      <c r="A313" t="s">
        <v>4</v>
      </c>
      <c r="B313">
        <v>69</v>
      </c>
      <c r="C313" t="s">
        <v>1</v>
      </c>
      <c r="D313">
        <v>762</v>
      </c>
      <c r="E313">
        <v>16000</v>
      </c>
      <c r="F313">
        <v>1</v>
      </c>
      <c r="G313" s="4" t="s">
        <v>47</v>
      </c>
      <c r="H313" s="4" t="s">
        <v>48</v>
      </c>
      <c r="I313">
        <v>7990</v>
      </c>
      <c r="J313" s="7">
        <f t="shared" si="13"/>
        <v>2.0876712328767124</v>
      </c>
      <c r="K313">
        <f t="shared" si="14"/>
        <v>7664.0419947506562</v>
      </c>
      <c r="Q313" t="str">
        <f t="shared" si="15"/>
        <v>Cheaper in UK</v>
      </c>
    </row>
    <row r="314" spans="1:17" x14ac:dyDescent="0.3">
      <c r="A314" t="s">
        <v>0</v>
      </c>
      <c r="B314">
        <v>69</v>
      </c>
      <c r="C314" t="s">
        <v>1</v>
      </c>
      <c r="D314">
        <v>1096</v>
      </c>
      <c r="E314">
        <v>27200</v>
      </c>
      <c r="F314">
        <v>1</v>
      </c>
      <c r="G314" s="4" t="s">
        <v>49</v>
      </c>
      <c r="H314" s="4" t="s">
        <v>50</v>
      </c>
      <c r="I314">
        <v>7990</v>
      </c>
      <c r="J314" s="7">
        <f t="shared" si="13"/>
        <v>3.0027397260273974</v>
      </c>
      <c r="K314">
        <f t="shared" si="14"/>
        <v>9058.3941605839409</v>
      </c>
      <c r="Q314" t="str">
        <f t="shared" si="15"/>
        <v>Cheaper in UK</v>
      </c>
    </row>
    <row r="315" spans="1:17" x14ac:dyDescent="0.3">
      <c r="A315" t="s">
        <v>4</v>
      </c>
      <c r="B315">
        <v>69</v>
      </c>
      <c r="C315" t="s">
        <v>1</v>
      </c>
      <c r="D315">
        <v>1886</v>
      </c>
      <c r="E315">
        <v>55000</v>
      </c>
      <c r="F315">
        <v>1</v>
      </c>
      <c r="G315" s="4" t="s">
        <v>51</v>
      </c>
      <c r="H315" s="4" t="s">
        <v>52</v>
      </c>
      <c r="I315">
        <v>8000</v>
      </c>
      <c r="J315" s="7">
        <f t="shared" si="13"/>
        <v>5.1671232876712327</v>
      </c>
      <c r="K315">
        <f t="shared" si="14"/>
        <v>10644.22057264051</v>
      </c>
      <c r="Q315" t="str">
        <f t="shared" si="15"/>
        <v>Cheaper in UK</v>
      </c>
    </row>
    <row r="316" spans="1:17" x14ac:dyDescent="0.3">
      <c r="A316" t="s">
        <v>4</v>
      </c>
      <c r="B316">
        <v>69</v>
      </c>
      <c r="C316" t="s">
        <v>1</v>
      </c>
      <c r="D316">
        <v>1431</v>
      </c>
      <c r="E316">
        <v>54600</v>
      </c>
      <c r="F316">
        <v>2</v>
      </c>
      <c r="G316" s="4" t="s">
        <v>53</v>
      </c>
      <c r="H316" s="4" t="s">
        <v>54</v>
      </c>
      <c r="I316">
        <v>8000</v>
      </c>
      <c r="J316" s="7">
        <f t="shared" si="13"/>
        <v>3.9205479452054797</v>
      </c>
      <c r="K316">
        <f t="shared" si="14"/>
        <v>13926.624737945493</v>
      </c>
      <c r="Q316" t="str">
        <f t="shared" si="15"/>
        <v>Cheaper in UK</v>
      </c>
    </row>
    <row r="317" spans="1:17" x14ac:dyDescent="0.3">
      <c r="A317" t="s">
        <v>4</v>
      </c>
      <c r="B317">
        <v>69</v>
      </c>
      <c r="C317" t="s">
        <v>1</v>
      </c>
      <c r="D317">
        <v>578</v>
      </c>
      <c r="E317">
        <v>28000</v>
      </c>
      <c r="F317">
        <v>1</v>
      </c>
      <c r="G317" s="4" t="s">
        <v>11</v>
      </c>
      <c r="H317" s="4" t="s">
        <v>12</v>
      </c>
      <c r="I317">
        <v>8299</v>
      </c>
      <c r="J317" s="7">
        <f t="shared" si="13"/>
        <v>1.5835616438356164</v>
      </c>
      <c r="K317">
        <f t="shared" si="14"/>
        <v>17681.66089965398</v>
      </c>
      <c r="Q317" t="str">
        <f t="shared" si="15"/>
        <v>Cheaper in UK</v>
      </c>
    </row>
    <row r="318" spans="1:17" x14ac:dyDescent="0.3">
      <c r="A318" t="s">
        <v>4</v>
      </c>
      <c r="B318">
        <v>69</v>
      </c>
      <c r="C318" t="s">
        <v>1</v>
      </c>
      <c r="D318">
        <v>609</v>
      </c>
      <c r="E318">
        <v>25000</v>
      </c>
      <c r="F318">
        <v>1</v>
      </c>
      <c r="G318" s="4" t="s">
        <v>11</v>
      </c>
      <c r="H318" s="4" t="s">
        <v>12</v>
      </c>
      <c r="I318">
        <v>8299</v>
      </c>
      <c r="J318" s="7">
        <f t="shared" si="13"/>
        <v>1.6684931506849314</v>
      </c>
      <c r="K318">
        <f t="shared" si="14"/>
        <v>14983.579638752053</v>
      </c>
      <c r="Q318" t="str">
        <f t="shared" si="15"/>
        <v>Cheaper in UK</v>
      </c>
    </row>
    <row r="319" spans="1:17" x14ac:dyDescent="0.3">
      <c r="A319" t="s">
        <v>4</v>
      </c>
      <c r="B319">
        <v>69</v>
      </c>
      <c r="C319" t="s">
        <v>1</v>
      </c>
      <c r="D319">
        <v>578</v>
      </c>
      <c r="E319">
        <v>19000</v>
      </c>
      <c r="F319">
        <v>1</v>
      </c>
      <c r="G319" s="4" t="s">
        <v>11</v>
      </c>
      <c r="H319" s="4" t="s">
        <v>12</v>
      </c>
      <c r="I319">
        <v>8299</v>
      </c>
      <c r="J319" s="7">
        <f t="shared" si="13"/>
        <v>1.5835616438356164</v>
      </c>
      <c r="K319">
        <f t="shared" si="14"/>
        <v>11998.269896193771</v>
      </c>
      <c r="Q319" t="str">
        <f t="shared" si="15"/>
        <v>Cheaper in UK</v>
      </c>
    </row>
    <row r="320" spans="1:17" x14ac:dyDescent="0.3">
      <c r="A320" t="s">
        <v>0</v>
      </c>
      <c r="B320">
        <v>69</v>
      </c>
      <c r="C320" t="s">
        <v>1</v>
      </c>
      <c r="D320">
        <v>1521</v>
      </c>
      <c r="E320">
        <v>37500</v>
      </c>
      <c r="F320">
        <v>1</v>
      </c>
      <c r="G320" s="4" t="s">
        <v>55</v>
      </c>
      <c r="H320" s="4" t="s">
        <v>56</v>
      </c>
      <c r="I320">
        <v>8490</v>
      </c>
      <c r="J320" s="7">
        <f t="shared" si="13"/>
        <v>4.1671232876712327</v>
      </c>
      <c r="K320">
        <f t="shared" si="14"/>
        <v>8999.0138067061143</v>
      </c>
      <c r="Q320" t="str">
        <f t="shared" si="15"/>
        <v>Cheaper in UK</v>
      </c>
    </row>
    <row r="321" spans="1:17" x14ac:dyDescent="0.3">
      <c r="A321" t="s">
        <v>4</v>
      </c>
      <c r="B321">
        <v>69</v>
      </c>
      <c r="C321" t="s">
        <v>1</v>
      </c>
      <c r="D321">
        <v>762</v>
      </c>
      <c r="E321">
        <v>36993</v>
      </c>
      <c r="F321">
        <v>2</v>
      </c>
      <c r="G321" s="4" t="s">
        <v>11</v>
      </c>
      <c r="H321" s="4" t="s">
        <v>12</v>
      </c>
      <c r="I321">
        <v>8980</v>
      </c>
      <c r="J321" s="7">
        <f t="shared" si="13"/>
        <v>2.0876712328767124</v>
      </c>
      <c r="K321">
        <f t="shared" si="14"/>
        <v>17719.744094488189</v>
      </c>
      <c r="Q321" t="str">
        <f t="shared" si="15"/>
        <v>Cheaper in UK</v>
      </c>
    </row>
    <row r="322" spans="1:17" x14ac:dyDescent="0.3">
      <c r="A322" t="s">
        <v>4</v>
      </c>
      <c r="B322">
        <v>69</v>
      </c>
      <c r="C322" t="s">
        <v>1</v>
      </c>
      <c r="D322">
        <v>762</v>
      </c>
      <c r="E322">
        <v>36112</v>
      </c>
      <c r="F322">
        <v>2</v>
      </c>
      <c r="G322" s="5" t="s">
        <v>462</v>
      </c>
      <c r="H322" s="4" t="s">
        <v>57</v>
      </c>
      <c r="I322">
        <v>8980</v>
      </c>
      <c r="J322" s="7">
        <f t="shared" si="13"/>
        <v>2.0876712328767124</v>
      </c>
      <c r="K322">
        <f t="shared" si="14"/>
        <v>17297.742782152229</v>
      </c>
      <c r="Q322" t="str">
        <f t="shared" si="15"/>
        <v>Cheaper in UK</v>
      </c>
    </row>
    <row r="323" spans="1:17" x14ac:dyDescent="0.3">
      <c r="A323" t="s">
        <v>4</v>
      </c>
      <c r="B323">
        <v>69</v>
      </c>
      <c r="C323" t="s">
        <v>1</v>
      </c>
      <c r="D323">
        <v>762</v>
      </c>
      <c r="E323">
        <v>36993</v>
      </c>
      <c r="F323">
        <v>2</v>
      </c>
      <c r="G323" s="4" t="s">
        <v>25</v>
      </c>
      <c r="H323" s="4" t="s">
        <v>26</v>
      </c>
      <c r="I323">
        <v>8980</v>
      </c>
      <c r="J323" s="7">
        <f t="shared" ref="J323:J381" si="16">D323/365</f>
        <v>2.0876712328767124</v>
      </c>
      <c r="K323">
        <f t="shared" ref="K323:K381" si="17">E323/J323</f>
        <v>17719.744094488189</v>
      </c>
      <c r="Q323" t="str">
        <f t="shared" ref="Q323:Q381" si="18">IF(C323 = "manual", "Cheaper in UK","More Expensive")</f>
        <v>Cheaper in UK</v>
      </c>
    </row>
    <row r="324" spans="1:17" x14ac:dyDescent="0.3">
      <c r="A324" t="s">
        <v>4</v>
      </c>
      <c r="B324">
        <v>69</v>
      </c>
      <c r="C324" t="s">
        <v>1</v>
      </c>
      <c r="D324">
        <v>425</v>
      </c>
      <c r="E324">
        <v>14000</v>
      </c>
      <c r="F324">
        <v>1</v>
      </c>
      <c r="G324" s="4" t="s">
        <v>11</v>
      </c>
      <c r="H324" s="4" t="s">
        <v>12</v>
      </c>
      <c r="I324">
        <v>9200</v>
      </c>
      <c r="J324" s="7">
        <f t="shared" si="16"/>
        <v>1.1643835616438356</v>
      </c>
      <c r="K324">
        <f t="shared" si="17"/>
        <v>12023.529411764706</v>
      </c>
      <c r="Q324" t="str">
        <f t="shared" si="18"/>
        <v>Cheaper in UK</v>
      </c>
    </row>
    <row r="325" spans="1:17" x14ac:dyDescent="0.3">
      <c r="A325" t="s">
        <v>4</v>
      </c>
      <c r="B325">
        <v>69</v>
      </c>
      <c r="C325" t="s">
        <v>1</v>
      </c>
      <c r="D325">
        <v>397</v>
      </c>
      <c r="E325">
        <v>16000</v>
      </c>
      <c r="F325">
        <v>1</v>
      </c>
      <c r="G325" s="4" t="s">
        <v>11</v>
      </c>
      <c r="H325" s="4" t="s">
        <v>12</v>
      </c>
      <c r="I325">
        <v>9200</v>
      </c>
      <c r="J325" s="7">
        <f t="shared" si="16"/>
        <v>1.0876712328767124</v>
      </c>
      <c r="K325">
        <f t="shared" si="17"/>
        <v>14710.327455919394</v>
      </c>
      <c r="Q325" t="str">
        <f t="shared" si="18"/>
        <v>Cheaper in UK</v>
      </c>
    </row>
    <row r="326" spans="1:17" x14ac:dyDescent="0.3">
      <c r="A326" t="s">
        <v>0</v>
      </c>
      <c r="B326">
        <v>69</v>
      </c>
      <c r="C326" t="s">
        <v>1</v>
      </c>
      <c r="D326">
        <v>1127</v>
      </c>
      <c r="E326">
        <v>21365</v>
      </c>
      <c r="F326">
        <v>2</v>
      </c>
      <c r="G326" s="4" t="s">
        <v>58</v>
      </c>
      <c r="H326" s="4" t="s">
        <v>59</v>
      </c>
      <c r="I326">
        <v>9300</v>
      </c>
      <c r="J326" s="7">
        <f t="shared" si="16"/>
        <v>3.0876712328767124</v>
      </c>
      <c r="K326">
        <f t="shared" si="17"/>
        <v>6919.4543034605149</v>
      </c>
      <c r="Q326" t="str">
        <f t="shared" si="18"/>
        <v>Cheaper in UK</v>
      </c>
    </row>
    <row r="327" spans="1:17" x14ac:dyDescent="0.3">
      <c r="A327" t="s">
        <v>4</v>
      </c>
      <c r="B327">
        <v>69</v>
      </c>
      <c r="C327" t="s">
        <v>1</v>
      </c>
      <c r="D327">
        <v>640</v>
      </c>
      <c r="E327">
        <v>22100</v>
      </c>
      <c r="F327">
        <v>2</v>
      </c>
      <c r="G327" s="4" t="s">
        <v>60</v>
      </c>
      <c r="H327" s="4" t="s">
        <v>61</v>
      </c>
      <c r="I327">
        <v>9390</v>
      </c>
      <c r="J327" s="7">
        <f t="shared" si="16"/>
        <v>1.7534246575342465</v>
      </c>
      <c r="K327">
        <f t="shared" si="17"/>
        <v>12603.90625</v>
      </c>
      <c r="Q327" t="str">
        <f t="shared" si="18"/>
        <v>Cheaper in UK</v>
      </c>
    </row>
    <row r="328" spans="1:17" x14ac:dyDescent="0.3">
      <c r="A328" t="s">
        <v>0</v>
      </c>
      <c r="B328">
        <v>69</v>
      </c>
      <c r="C328" t="s">
        <v>1</v>
      </c>
      <c r="D328">
        <v>366</v>
      </c>
      <c r="E328">
        <v>12929</v>
      </c>
      <c r="F328">
        <v>2</v>
      </c>
      <c r="G328" s="4" t="s">
        <v>62</v>
      </c>
      <c r="H328" s="4" t="s">
        <v>63</v>
      </c>
      <c r="I328">
        <v>9400</v>
      </c>
      <c r="J328" s="7">
        <f t="shared" si="16"/>
        <v>1.0027397260273974</v>
      </c>
      <c r="K328">
        <f t="shared" si="17"/>
        <v>12893.674863387976</v>
      </c>
      <c r="Q328" t="str">
        <f t="shared" si="18"/>
        <v>Cheaper in UK</v>
      </c>
    </row>
    <row r="329" spans="1:17" x14ac:dyDescent="0.3">
      <c r="A329" t="s">
        <v>4</v>
      </c>
      <c r="B329">
        <v>69</v>
      </c>
      <c r="C329" t="s">
        <v>1</v>
      </c>
      <c r="D329">
        <v>397</v>
      </c>
      <c r="E329">
        <v>16755</v>
      </c>
      <c r="F329">
        <v>1</v>
      </c>
      <c r="G329" s="4" t="s">
        <v>64</v>
      </c>
      <c r="H329" s="4" t="s">
        <v>65</v>
      </c>
      <c r="I329">
        <v>9490</v>
      </c>
      <c r="J329" s="7">
        <f t="shared" si="16"/>
        <v>1.0876712328767124</v>
      </c>
      <c r="K329">
        <f t="shared" si="17"/>
        <v>15404.47103274559</v>
      </c>
      <c r="Q329" t="str">
        <f t="shared" si="18"/>
        <v>Cheaper in UK</v>
      </c>
    </row>
    <row r="330" spans="1:17" x14ac:dyDescent="0.3">
      <c r="A330" t="s">
        <v>4</v>
      </c>
      <c r="B330">
        <v>69</v>
      </c>
      <c r="C330" t="s">
        <v>1</v>
      </c>
      <c r="D330">
        <v>397</v>
      </c>
      <c r="E330">
        <v>16755</v>
      </c>
      <c r="F330">
        <v>1</v>
      </c>
      <c r="G330" s="5" t="s">
        <v>463</v>
      </c>
      <c r="H330" s="4" t="s">
        <v>66</v>
      </c>
      <c r="I330">
        <v>9490</v>
      </c>
      <c r="J330" s="7">
        <f t="shared" si="16"/>
        <v>1.0876712328767124</v>
      </c>
      <c r="K330">
        <f t="shared" si="17"/>
        <v>15404.47103274559</v>
      </c>
      <c r="Q330" t="str">
        <f t="shared" si="18"/>
        <v>Cheaper in UK</v>
      </c>
    </row>
    <row r="331" spans="1:17" x14ac:dyDescent="0.3">
      <c r="A331" t="s">
        <v>4</v>
      </c>
      <c r="B331">
        <v>69</v>
      </c>
      <c r="C331" t="s">
        <v>1</v>
      </c>
      <c r="D331">
        <v>456</v>
      </c>
      <c r="E331">
        <v>13215</v>
      </c>
      <c r="F331">
        <v>1</v>
      </c>
      <c r="G331" s="4" t="s">
        <v>13</v>
      </c>
      <c r="H331" s="4" t="s">
        <v>14</v>
      </c>
      <c r="I331">
        <v>9490</v>
      </c>
      <c r="J331" s="7">
        <f t="shared" si="16"/>
        <v>1.2493150684931507</v>
      </c>
      <c r="K331">
        <f t="shared" si="17"/>
        <v>10577.796052631578</v>
      </c>
      <c r="Q331" t="str">
        <f t="shared" si="18"/>
        <v>Cheaper in UK</v>
      </c>
    </row>
    <row r="332" spans="1:17" x14ac:dyDescent="0.3">
      <c r="A332" t="s">
        <v>4</v>
      </c>
      <c r="B332">
        <v>69</v>
      </c>
      <c r="C332" t="s">
        <v>1</v>
      </c>
      <c r="D332">
        <v>1370</v>
      </c>
      <c r="E332">
        <v>27512</v>
      </c>
      <c r="F332">
        <v>1</v>
      </c>
      <c r="G332" s="4" t="s">
        <v>67</v>
      </c>
      <c r="H332" s="4" t="s">
        <v>68</v>
      </c>
      <c r="I332">
        <v>9490</v>
      </c>
      <c r="J332" s="7">
        <f t="shared" si="16"/>
        <v>3.7534246575342465</v>
      </c>
      <c r="K332">
        <f t="shared" si="17"/>
        <v>7329.8394160583939</v>
      </c>
      <c r="Q332" t="str">
        <f t="shared" si="18"/>
        <v>Cheaper in UK</v>
      </c>
    </row>
    <row r="333" spans="1:17" x14ac:dyDescent="0.3">
      <c r="A333" t="s">
        <v>4</v>
      </c>
      <c r="B333">
        <v>69</v>
      </c>
      <c r="C333" t="s">
        <v>1</v>
      </c>
      <c r="D333">
        <v>456</v>
      </c>
      <c r="E333">
        <v>15000</v>
      </c>
      <c r="F333">
        <v>1</v>
      </c>
      <c r="G333" s="4" t="s">
        <v>69</v>
      </c>
      <c r="H333" s="4" t="s">
        <v>70</v>
      </c>
      <c r="I333">
        <v>9499</v>
      </c>
      <c r="J333" s="7">
        <f t="shared" si="16"/>
        <v>1.2493150684931507</v>
      </c>
      <c r="K333">
        <f t="shared" si="17"/>
        <v>12006.578947368422</v>
      </c>
      <c r="Q333" t="str">
        <f t="shared" si="18"/>
        <v>Cheaper in UK</v>
      </c>
    </row>
    <row r="334" spans="1:17" x14ac:dyDescent="0.3">
      <c r="A334" t="s">
        <v>4</v>
      </c>
      <c r="B334">
        <v>69</v>
      </c>
      <c r="C334" t="s">
        <v>1</v>
      </c>
      <c r="D334">
        <v>456</v>
      </c>
      <c r="E334">
        <v>15000</v>
      </c>
      <c r="F334">
        <v>1</v>
      </c>
      <c r="G334" s="4" t="s">
        <v>47</v>
      </c>
      <c r="H334" s="4" t="s">
        <v>48</v>
      </c>
      <c r="I334">
        <v>9499</v>
      </c>
      <c r="J334" s="7">
        <f t="shared" si="16"/>
        <v>1.2493150684931507</v>
      </c>
      <c r="K334">
        <f t="shared" si="17"/>
        <v>12006.578947368422</v>
      </c>
      <c r="Q334" t="str">
        <f t="shared" si="18"/>
        <v>Cheaper in UK</v>
      </c>
    </row>
    <row r="335" spans="1:17" x14ac:dyDescent="0.3">
      <c r="A335" t="s">
        <v>4</v>
      </c>
      <c r="B335">
        <v>69</v>
      </c>
      <c r="C335" t="s">
        <v>1</v>
      </c>
      <c r="D335">
        <v>456</v>
      </c>
      <c r="E335">
        <v>11998</v>
      </c>
      <c r="F335">
        <v>1</v>
      </c>
      <c r="G335" s="5" t="s">
        <v>463</v>
      </c>
      <c r="H335" s="4" t="s">
        <v>66</v>
      </c>
      <c r="I335">
        <v>9590</v>
      </c>
      <c r="J335" s="7">
        <f t="shared" si="16"/>
        <v>1.2493150684931507</v>
      </c>
      <c r="K335">
        <f t="shared" si="17"/>
        <v>9603.6622807017538</v>
      </c>
      <c r="Q335" t="str">
        <f t="shared" si="18"/>
        <v>Cheaper in UK</v>
      </c>
    </row>
    <row r="336" spans="1:17" x14ac:dyDescent="0.3">
      <c r="A336" t="s">
        <v>4</v>
      </c>
      <c r="B336">
        <v>69</v>
      </c>
      <c r="C336" t="s">
        <v>1</v>
      </c>
      <c r="D336">
        <v>456</v>
      </c>
      <c r="E336">
        <v>11998</v>
      </c>
      <c r="F336">
        <v>1</v>
      </c>
      <c r="G336" s="4" t="s">
        <v>71</v>
      </c>
      <c r="H336" s="4" t="s">
        <v>72</v>
      </c>
      <c r="I336">
        <v>9590</v>
      </c>
      <c r="J336" s="7">
        <f t="shared" si="16"/>
        <v>1.2493150684931507</v>
      </c>
      <c r="K336">
        <f t="shared" si="17"/>
        <v>9603.6622807017538</v>
      </c>
      <c r="Q336" t="str">
        <f t="shared" si="18"/>
        <v>Cheaper in UK</v>
      </c>
    </row>
    <row r="337" spans="1:17" x14ac:dyDescent="0.3">
      <c r="A337" t="s">
        <v>4</v>
      </c>
      <c r="B337">
        <v>69</v>
      </c>
      <c r="C337" t="s">
        <v>1</v>
      </c>
      <c r="D337">
        <v>456</v>
      </c>
      <c r="E337">
        <v>11998</v>
      </c>
      <c r="F337">
        <v>1</v>
      </c>
      <c r="G337" s="4" t="s">
        <v>64</v>
      </c>
      <c r="H337" s="4" t="s">
        <v>65</v>
      </c>
      <c r="I337">
        <v>9590</v>
      </c>
      <c r="J337" s="7">
        <f t="shared" si="16"/>
        <v>1.2493150684931507</v>
      </c>
      <c r="K337">
        <f t="shared" si="17"/>
        <v>9603.6622807017538</v>
      </c>
      <c r="Q337" t="str">
        <f t="shared" si="18"/>
        <v>Cheaper in UK</v>
      </c>
    </row>
    <row r="338" spans="1:17" x14ac:dyDescent="0.3">
      <c r="A338" t="s">
        <v>4</v>
      </c>
      <c r="B338">
        <v>69</v>
      </c>
      <c r="C338" t="s">
        <v>1</v>
      </c>
      <c r="D338">
        <v>790</v>
      </c>
      <c r="E338">
        <v>39528</v>
      </c>
      <c r="F338">
        <v>2</v>
      </c>
      <c r="G338" s="4" t="s">
        <v>11</v>
      </c>
      <c r="H338" s="4" t="s">
        <v>12</v>
      </c>
      <c r="I338">
        <v>9600</v>
      </c>
      <c r="J338" s="7">
        <f t="shared" si="16"/>
        <v>2.1643835616438358</v>
      </c>
      <c r="K338">
        <f t="shared" si="17"/>
        <v>18262.936708860758</v>
      </c>
      <c r="Q338" t="str">
        <f t="shared" si="18"/>
        <v>Cheaper in UK</v>
      </c>
    </row>
    <row r="339" spans="1:17" x14ac:dyDescent="0.3">
      <c r="A339" t="s">
        <v>4</v>
      </c>
      <c r="B339">
        <v>69</v>
      </c>
      <c r="C339" t="s">
        <v>1</v>
      </c>
      <c r="D339">
        <v>183</v>
      </c>
      <c r="E339">
        <v>29826</v>
      </c>
      <c r="F339">
        <v>2</v>
      </c>
      <c r="G339" s="4" t="s">
        <v>25</v>
      </c>
      <c r="H339" s="4" t="s">
        <v>26</v>
      </c>
      <c r="I339">
        <v>9680</v>
      </c>
      <c r="J339" s="7">
        <f t="shared" si="16"/>
        <v>0.50136986301369868</v>
      </c>
      <c r="K339">
        <f t="shared" si="17"/>
        <v>59489.016393442616</v>
      </c>
      <c r="Q339" t="str">
        <f t="shared" si="18"/>
        <v>Cheaper in UK</v>
      </c>
    </row>
    <row r="340" spans="1:17" x14ac:dyDescent="0.3">
      <c r="A340" t="s">
        <v>4</v>
      </c>
      <c r="B340">
        <v>69</v>
      </c>
      <c r="C340" t="s">
        <v>1</v>
      </c>
      <c r="D340">
        <v>397</v>
      </c>
      <c r="E340">
        <v>12917</v>
      </c>
      <c r="F340">
        <v>1</v>
      </c>
      <c r="G340" s="4" t="s">
        <v>13</v>
      </c>
      <c r="H340" s="4" t="s">
        <v>14</v>
      </c>
      <c r="I340">
        <v>9690</v>
      </c>
      <c r="J340" s="7">
        <f t="shared" si="16"/>
        <v>1.0876712328767124</v>
      </c>
      <c r="K340">
        <f t="shared" si="17"/>
        <v>11875.831234256926</v>
      </c>
      <c r="Q340" t="str">
        <f t="shared" si="18"/>
        <v>Cheaper in UK</v>
      </c>
    </row>
    <row r="341" spans="1:17" x14ac:dyDescent="0.3">
      <c r="A341" t="s">
        <v>4</v>
      </c>
      <c r="B341">
        <v>69</v>
      </c>
      <c r="C341" t="s">
        <v>1</v>
      </c>
      <c r="D341">
        <v>456</v>
      </c>
      <c r="E341">
        <v>20941</v>
      </c>
      <c r="F341">
        <v>1</v>
      </c>
      <c r="G341" s="4" t="s">
        <v>11</v>
      </c>
      <c r="H341" s="4" t="s">
        <v>12</v>
      </c>
      <c r="I341">
        <v>9700</v>
      </c>
      <c r="J341" s="7">
        <f t="shared" si="16"/>
        <v>1.2493150684931507</v>
      </c>
      <c r="K341">
        <f t="shared" si="17"/>
        <v>16761.984649122809</v>
      </c>
      <c r="Q341" t="str">
        <f t="shared" si="18"/>
        <v>Cheaper in UK</v>
      </c>
    </row>
    <row r="342" spans="1:17" x14ac:dyDescent="0.3">
      <c r="A342" t="s">
        <v>4</v>
      </c>
      <c r="B342">
        <v>69</v>
      </c>
      <c r="C342" t="s">
        <v>1</v>
      </c>
      <c r="D342">
        <v>456</v>
      </c>
      <c r="E342">
        <v>20941</v>
      </c>
      <c r="F342">
        <v>1</v>
      </c>
      <c r="G342" s="4" t="s">
        <v>64</v>
      </c>
      <c r="H342" s="4" t="s">
        <v>65</v>
      </c>
      <c r="I342">
        <v>9700</v>
      </c>
      <c r="J342" s="7">
        <f t="shared" si="16"/>
        <v>1.2493150684931507</v>
      </c>
      <c r="K342">
        <f t="shared" si="17"/>
        <v>16761.984649122809</v>
      </c>
      <c r="Q342" t="str">
        <f t="shared" si="18"/>
        <v>Cheaper in UK</v>
      </c>
    </row>
    <row r="343" spans="1:17" x14ac:dyDescent="0.3">
      <c r="A343" t="s">
        <v>4</v>
      </c>
      <c r="B343">
        <v>69</v>
      </c>
      <c r="C343" t="s">
        <v>1</v>
      </c>
      <c r="D343">
        <v>456</v>
      </c>
      <c r="E343">
        <v>20941</v>
      </c>
      <c r="F343">
        <v>1</v>
      </c>
      <c r="G343" s="5" t="s">
        <v>463</v>
      </c>
      <c r="H343" s="4" t="s">
        <v>66</v>
      </c>
      <c r="I343">
        <v>9700</v>
      </c>
      <c r="J343" s="7">
        <f t="shared" si="16"/>
        <v>1.2493150684931507</v>
      </c>
      <c r="K343">
        <f t="shared" si="17"/>
        <v>16761.984649122809</v>
      </c>
      <c r="Q343" t="str">
        <f t="shared" si="18"/>
        <v>Cheaper in UK</v>
      </c>
    </row>
    <row r="344" spans="1:17" x14ac:dyDescent="0.3">
      <c r="A344" t="s">
        <v>10</v>
      </c>
      <c r="B344">
        <v>69</v>
      </c>
      <c r="C344" t="s">
        <v>1</v>
      </c>
      <c r="D344">
        <v>701</v>
      </c>
      <c r="E344">
        <v>39162</v>
      </c>
      <c r="F344">
        <v>2</v>
      </c>
      <c r="G344" s="4" t="s">
        <v>25</v>
      </c>
      <c r="H344" s="4" t="s">
        <v>26</v>
      </c>
      <c r="I344">
        <v>9780</v>
      </c>
      <c r="J344" s="7">
        <f t="shared" si="16"/>
        <v>1.9205479452054794</v>
      </c>
      <c r="K344">
        <f t="shared" si="17"/>
        <v>20391.055634807417</v>
      </c>
      <c r="Q344" t="str">
        <f t="shared" si="18"/>
        <v>Cheaper in UK</v>
      </c>
    </row>
    <row r="345" spans="1:17" x14ac:dyDescent="0.3">
      <c r="A345" t="s">
        <v>4</v>
      </c>
      <c r="B345">
        <v>69</v>
      </c>
      <c r="C345" t="s">
        <v>1</v>
      </c>
      <c r="D345">
        <v>790</v>
      </c>
      <c r="E345">
        <v>19133</v>
      </c>
      <c r="F345">
        <v>1</v>
      </c>
      <c r="G345" s="4" t="s">
        <v>73</v>
      </c>
      <c r="H345" s="4" t="s">
        <v>74</v>
      </c>
      <c r="I345">
        <v>9850</v>
      </c>
      <c r="J345" s="7">
        <f t="shared" si="16"/>
        <v>2.1643835616438358</v>
      </c>
      <c r="K345">
        <f t="shared" si="17"/>
        <v>8839.9303797468347</v>
      </c>
      <c r="Q345" t="str">
        <f t="shared" si="18"/>
        <v>Cheaper in UK</v>
      </c>
    </row>
    <row r="346" spans="1:17" x14ac:dyDescent="0.3">
      <c r="A346" t="s">
        <v>4</v>
      </c>
      <c r="B346">
        <v>69</v>
      </c>
      <c r="C346" t="s">
        <v>1</v>
      </c>
      <c r="D346">
        <v>456</v>
      </c>
      <c r="E346">
        <v>11511</v>
      </c>
      <c r="F346">
        <v>2</v>
      </c>
      <c r="G346" s="4" t="s">
        <v>75</v>
      </c>
      <c r="H346" s="4" t="s">
        <v>76</v>
      </c>
      <c r="I346">
        <v>9890</v>
      </c>
      <c r="J346" s="7">
        <f t="shared" si="16"/>
        <v>1.2493150684931507</v>
      </c>
      <c r="K346">
        <f t="shared" si="17"/>
        <v>9213.8486842105267</v>
      </c>
      <c r="Q346" t="str">
        <f t="shared" si="18"/>
        <v>Cheaper in UK</v>
      </c>
    </row>
    <row r="347" spans="1:17" x14ac:dyDescent="0.3">
      <c r="A347" t="s">
        <v>4</v>
      </c>
      <c r="B347">
        <v>69</v>
      </c>
      <c r="C347" t="s">
        <v>1</v>
      </c>
      <c r="D347">
        <v>456</v>
      </c>
      <c r="E347">
        <v>15344</v>
      </c>
      <c r="F347">
        <v>2</v>
      </c>
      <c r="G347" s="4" t="s">
        <v>75</v>
      </c>
      <c r="H347" s="4" t="s">
        <v>76</v>
      </c>
      <c r="I347">
        <v>9890</v>
      </c>
      <c r="J347" s="7">
        <f t="shared" si="16"/>
        <v>1.2493150684931507</v>
      </c>
      <c r="K347">
        <f t="shared" si="17"/>
        <v>12281.929824561405</v>
      </c>
      <c r="Q347" t="str">
        <f t="shared" si="18"/>
        <v>Cheaper in UK</v>
      </c>
    </row>
    <row r="348" spans="1:17" x14ac:dyDescent="0.3">
      <c r="A348" t="s">
        <v>4</v>
      </c>
      <c r="B348">
        <v>69</v>
      </c>
      <c r="C348" t="s">
        <v>1</v>
      </c>
      <c r="D348">
        <v>456</v>
      </c>
      <c r="E348">
        <v>17253</v>
      </c>
      <c r="F348">
        <v>2</v>
      </c>
      <c r="G348" s="4" t="s">
        <v>75</v>
      </c>
      <c r="H348" s="4" t="s">
        <v>76</v>
      </c>
      <c r="I348">
        <v>9890</v>
      </c>
      <c r="J348" s="7">
        <f t="shared" si="16"/>
        <v>1.2493150684931507</v>
      </c>
      <c r="K348">
        <f t="shared" si="17"/>
        <v>13809.967105263158</v>
      </c>
      <c r="Q348" t="str">
        <f t="shared" si="18"/>
        <v>Cheaper in UK</v>
      </c>
    </row>
    <row r="349" spans="1:17" x14ac:dyDescent="0.3">
      <c r="A349" t="s">
        <v>4</v>
      </c>
      <c r="B349">
        <v>69</v>
      </c>
      <c r="C349" t="s">
        <v>1</v>
      </c>
      <c r="D349">
        <v>548</v>
      </c>
      <c r="E349">
        <v>22609</v>
      </c>
      <c r="F349">
        <v>1</v>
      </c>
      <c r="G349" s="4" t="s">
        <v>77</v>
      </c>
      <c r="H349" s="4" t="s">
        <v>78</v>
      </c>
      <c r="I349">
        <v>9900</v>
      </c>
      <c r="J349" s="7">
        <f t="shared" si="16"/>
        <v>1.5013698630136987</v>
      </c>
      <c r="K349">
        <f t="shared" si="17"/>
        <v>15058.914233576641</v>
      </c>
      <c r="Q349" t="str">
        <f t="shared" si="18"/>
        <v>Cheaper in UK</v>
      </c>
    </row>
    <row r="350" spans="1:17" x14ac:dyDescent="0.3">
      <c r="A350" t="s">
        <v>4</v>
      </c>
      <c r="B350">
        <v>69</v>
      </c>
      <c r="C350" t="s">
        <v>1</v>
      </c>
      <c r="D350">
        <v>640</v>
      </c>
      <c r="E350">
        <v>18000</v>
      </c>
      <c r="F350">
        <v>1</v>
      </c>
      <c r="G350" s="4" t="s">
        <v>11</v>
      </c>
      <c r="H350" s="4" t="s">
        <v>12</v>
      </c>
      <c r="I350">
        <v>9900</v>
      </c>
      <c r="J350" s="7">
        <f t="shared" si="16"/>
        <v>1.7534246575342465</v>
      </c>
      <c r="K350">
        <f t="shared" si="17"/>
        <v>10265.625</v>
      </c>
      <c r="Q350" t="str">
        <f t="shared" si="18"/>
        <v>Cheaper in UK</v>
      </c>
    </row>
    <row r="351" spans="1:17" x14ac:dyDescent="0.3">
      <c r="A351" t="s">
        <v>4</v>
      </c>
      <c r="B351">
        <v>69</v>
      </c>
      <c r="C351" t="s">
        <v>1</v>
      </c>
      <c r="D351">
        <v>244</v>
      </c>
      <c r="E351">
        <v>14000</v>
      </c>
      <c r="F351">
        <v>2</v>
      </c>
      <c r="G351" s="4" t="s">
        <v>79</v>
      </c>
      <c r="H351" s="4" t="s">
        <v>80</v>
      </c>
      <c r="I351">
        <v>9900</v>
      </c>
      <c r="J351" s="7">
        <f t="shared" si="16"/>
        <v>0.66849315068493154</v>
      </c>
      <c r="K351">
        <f t="shared" si="17"/>
        <v>20942.62295081967</v>
      </c>
      <c r="Q351" t="str">
        <f t="shared" si="18"/>
        <v>Cheaper in UK</v>
      </c>
    </row>
    <row r="352" spans="1:17" x14ac:dyDescent="0.3">
      <c r="A352" t="s">
        <v>4</v>
      </c>
      <c r="B352">
        <v>69</v>
      </c>
      <c r="C352" t="s">
        <v>1</v>
      </c>
      <c r="D352">
        <v>762</v>
      </c>
      <c r="E352">
        <v>22020</v>
      </c>
      <c r="F352">
        <v>2</v>
      </c>
      <c r="G352" s="4" t="s">
        <v>81</v>
      </c>
      <c r="H352" s="4" t="s">
        <v>82</v>
      </c>
      <c r="I352">
        <v>9900</v>
      </c>
      <c r="J352" s="7">
        <f t="shared" si="16"/>
        <v>2.0876712328767124</v>
      </c>
      <c r="K352">
        <f t="shared" si="17"/>
        <v>10547.63779527559</v>
      </c>
      <c r="Q352" t="str">
        <f t="shared" si="18"/>
        <v>Cheaper in UK</v>
      </c>
    </row>
    <row r="353" spans="1:17" x14ac:dyDescent="0.3">
      <c r="A353" t="s">
        <v>4</v>
      </c>
      <c r="B353">
        <v>69</v>
      </c>
      <c r="C353" t="s">
        <v>1</v>
      </c>
      <c r="D353">
        <v>397</v>
      </c>
      <c r="E353">
        <v>9700</v>
      </c>
      <c r="F353">
        <v>1</v>
      </c>
      <c r="G353" s="4" t="s">
        <v>83</v>
      </c>
      <c r="H353" s="4" t="s">
        <v>84</v>
      </c>
      <c r="I353">
        <v>9950</v>
      </c>
      <c r="J353" s="7">
        <f t="shared" si="16"/>
        <v>1.0876712328767124</v>
      </c>
      <c r="K353">
        <f t="shared" si="17"/>
        <v>8918.1360201511325</v>
      </c>
      <c r="Q353" t="str">
        <f t="shared" si="18"/>
        <v>Cheaper in UK</v>
      </c>
    </row>
    <row r="354" spans="1:17" x14ac:dyDescent="0.3">
      <c r="A354" t="s">
        <v>4</v>
      </c>
      <c r="B354">
        <v>69</v>
      </c>
      <c r="C354" t="s">
        <v>1</v>
      </c>
      <c r="D354">
        <v>701</v>
      </c>
      <c r="E354">
        <v>17324</v>
      </c>
      <c r="F354">
        <v>2</v>
      </c>
      <c r="G354" s="4" t="s">
        <v>62</v>
      </c>
      <c r="H354" s="4" t="s">
        <v>63</v>
      </c>
      <c r="I354">
        <v>9950</v>
      </c>
      <c r="J354" s="7">
        <f t="shared" si="16"/>
        <v>1.9205479452054794</v>
      </c>
      <c r="K354">
        <f t="shared" si="17"/>
        <v>9020.342368045649</v>
      </c>
      <c r="Q354" t="str">
        <f t="shared" si="18"/>
        <v>Cheaper in UK</v>
      </c>
    </row>
    <row r="355" spans="1:17" x14ac:dyDescent="0.3">
      <c r="A355" t="s">
        <v>0</v>
      </c>
      <c r="B355">
        <v>69</v>
      </c>
      <c r="C355" t="s">
        <v>1</v>
      </c>
      <c r="D355">
        <v>152</v>
      </c>
      <c r="E355">
        <v>56779</v>
      </c>
      <c r="F355">
        <v>2</v>
      </c>
      <c r="G355" s="4" t="s">
        <v>85</v>
      </c>
      <c r="H355" s="4" t="s">
        <v>86</v>
      </c>
      <c r="I355">
        <v>9950</v>
      </c>
      <c r="J355" s="7">
        <f t="shared" si="16"/>
        <v>0.41643835616438357</v>
      </c>
      <c r="K355">
        <f t="shared" si="17"/>
        <v>136344.30921052632</v>
      </c>
      <c r="Q355" t="str">
        <f t="shared" si="18"/>
        <v>Cheaper in UK</v>
      </c>
    </row>
    <row r="356" spans="1:17" x14ac:dyDescent="0.3">
      <c r="A356" t="s">
        <v>0</v>
      </c>
      <c r="B356">
        <v>69</v>
      </c>
      <c r="C356" t="s">
        <v>1</v>
      </c>
      <c r="D356">
        <v>152</v>
      </c>
      <c r="E356">
        <v>56779</v>
      </c>
      <c r="F356">
        <v>2</v>
      </c>
      <c r="G356" s="4" t="s">
        <v>87</v>
      </c>
      <c r="H356" s="4" t="s">
        <v>88</v>
      </c>
      <c r="I356">
        <v>9950</v>
      </c>
      <c r="J356" s="7">
        <f t="shared" si="16"/>
        <v>0.41643835616438357</v>
      </c>
      <c r="K356">
        <f t="shared" si="17"/>
        <v>136344.30921052632</v>
      </c>
      <c r="Q356" t="str">
        <f t="shared" si="18"/>
        <v>Cheaper in UK</v>
      </c>
    </row>
    <row r="357" spans="1:17" x14ac:dyDescent="0.3">
      <c r="A357" t="s">
        <v>4</v>
      </c>
      <c r="B357">
        <v>69</v>
      </c>
      <c r="C357" t="s">
        <v>1</v>
      </c>
      <c r="D357">
        <v>397</v>
      </c>
      <c r="E357">
        <v>16100</v>
      </c>
      <c r="F357">
        <v>1</v>
      </c>
      <c r="G357" s="4" t="s">
        <v>11</v>
      </c>
      <c r="H357" s="4" t="s">
        <v>12</v>
      </c>
      <c r="I357">
        <v>9970</v>
      </c>
      <c r="J357" s="7">
        <f t="shared" si="16"/>
        <v>1.0876712328767124</v>
      </c>
      <c r="K357">
        <f t="shared" si="17"/>
        <v>14802.267002518891</v>
      </c>
      <c r="Q357" t="str">
        <f t="shared" si="18"/>
        <v>Cheaper in UK</v>
      </c>
    </row>
    <row r="358" spans="1:17" x14ac:dyDescent="0.3">
      <c r="A358" t="s">
        <v>0</v>
      </c>
      <c r="B358">
        <v>69</v>
      </c>
      <c r="C358" t="s">
        <v>1</v>
      </c>
      <c r="D358">
        <v>397</v>
      </c>
      <c r="E358">
        <v>15000</v>
      </c>
      <c r="F358">
        <v>1</v>
      </c>
      <c r="G358" s="4" t="s">
        <v>11</v>
      </c>
      <c r="H358" s="4" t="s">
        <v>12</v>
      </c>
      <c r="I358">
        <v>9970</v>
      </c>
      <c r="J358" s="7">
        <f t="shared" si="16"/>
        <v>1.0876712328767124</v>
      </c>
      <c r="K358">
        <f t="shared" si="17"/>
        <v>13790.931989924433</v>
      </c>
      <c r="Q358" t="str">
        <f t="shared" si="18"/>
        <v>Cheaper in UK</v>
      </c>
    </row>
    <row r="359" spans="1:17" x14ac:dyDescent="0.3">
      <c r="A359" t="s">
        <v>4</v>
      </c>
      <c r="B359">
        <v>69</v>
      </c>
      <c r="C359" t="s">
        <v>1</v>
      </c>
      <c r="D359">
        <v>275</v>
      </c>
      <c r="E359">
        <v>16111</v>
      </c>
      <c r="F359">
        <v>2</v>
      </c>
      <c r="G359" s="4" t="s">
        <v>25</v>
      </c>
      <c r="H359" s="4" t="s">
        <v>26</v>
      </c>
      <c r="I359">
        <v>9980</v>
      </c>
      <c r="J359" s="7">
        <f t="shared" si="16"/>
        <v>0.75342465753424659</v>
      </c>
      <c r="K359">
        <f t="shared" si="17"/>
        <v>21383.69090909091</v>
      </c>
      <c r="Q359" t="str">
        <f t="shared" si="18"/>
        <v>Cheaper in UK</v>
      </c>
    </row>
    <row r="360" spans="1:17" x14ac:dyDescent="0.3">
      <c r="A360" t="s">
        <v>4</v>
      </c>
      <c r="B360">
        <v>69</v>
      </c>
      <c r="C360" t="s">
        <v>1</v>
      </c>
      <c r="D360">
        <v>731</v>
      </c>
      <c r="E360">
        <v>12000</v>
      </c>
      <c r="F360">
        <v>2</v>
      </c>
      <c r="G360" s="4" t="s">
        <v>89</v>
      </c>
      <c r="H360" s="4" t="s">
        <v>90</v>
      </c>
      <c r="I360">
        <v>9980</v>
      </c>
      <c r="J360" s="7">
        <f t="shared" si="16"/>
        <v>2.0027397260273974</v>
      </c>
      <c r="K360">
        <f t="shared" si="17"/>
        <v>5991.7920656634742</v>
      </c>
      <c r="Q360" t="str">
        <f t="shared" si="18"/>
        <v>Cheaper in UK</v>
      </c>
    </row>
    <row r="361" spans="1:17" x14ac:dyDescent="0.3">
      <c r="A361" t="s">
        <v>4</v>
      </c>
      <c r="B361">
        <v>69</v>
      </c>
      <c r="C361" t="s">
        <v>1</v>
      </c>
      <c r="D361">
        <v>397</v>
      </c>
      <c r="E361">
        <v>18324</v>
      </c>
      <c r="F361">
        <v>2</v>
      </c>
      <c r="G361" s="4" t="s">
        <v>75</v>
      </c>
      <c r="H361" s="4" t="s">
        <v>76</v>
      </c>
      <c r="I361">
        <v>9990</v>
      </c>
      <c r="J361" s="7">
        <f t="shared" si="16"/>
        <v>1.0876712328767124</v>
      </c>
      <c r="K361">
        <f t="shared" si="17"/>
        <v>16847.002518891688</v>
      </c>
      <c r="Q361" t="str">
        <f t="shared" si="18"/>
        <v>Cheaper in UK</v>
      </c>
    </row>
    <row r="362" spans="1:17" x14ac:dyDescent="0.3">
      <c r="A362" t="s">
        <v>10</v>
      </c>
      <c r="B362">
        <v>69</v>
      </c>
      <c r="C362" t="s">
        <v>1</v>
      </c>
      <c r="D362">
        <v>701</v>
      </c>
      <c r="E362">
        <v>56779</v>
      </c>
      <c r="F362">
        <v>2</v>
      </c>
      <c r="G362" s="4" t="s">
        <v>11</v>
      </c>
      <c r="H362" s="4" t="s">
        <v>12</v>
      </c>
      <c r="I362">
        <v>10180</v>
      </c>
      <c r="J362" s="7">
        <f t="shared" si="16"/>
        <v>1.9205479452054794</v>
      </c>
      <c r="K362">
        <f t="shared" si="17"/>
        <v>29563.958630527817</v>
      </c>
      <c r="Q362" t="str">
        <f t="shared" si="18"/>
        <v>Cheaper in UK</v>
      </c>
    </row>
    <row r="363" spans="1:17" x14ac:dyDescent="0.3">
      <c r="A363" t="s">
        <v>4</v>
      </c>
      <c r="B363">
        <v>69</v>
      </c>
      <c r="C363" t="s">
        <v>1</v>
      </c>
      <c r="D363">
        <v>487</v>
      </c>
      <c r="E363">
        <v>56779</v>
      </c>
      <c r="F363">
        <v>1</v>
      </c>
      <c r="G363" s="4" t="s">
        <v>91</v>
      </c>
      <c r="H363" s="4" t="s">
        <v>92</v>
      </c>
      <c r="I363">
        <v>10500</v>
      </c>
      <c r="J363" s="7">
        <f t="shared" si="16"/>
        <v>1.3342465753424657</v>
      </c>
      <c r="K363">
        <f t="shared" si="17"/>
        <v>42555.102669404521</v>
      </c>
      <c r="Q363" t="str">
        <f t="shared" si="18"/>
        <v>Cheaper in UK</v>
      </c>
    </row>
    <row r="364" spans="1:17" x14ac:dyDescent="0.3">
      <c r="A364" t="s">
        <v>4</v>
      </c>
      <c r="B364">
        <v>69</v>
      </c>
      <c r="C364" t="s">
        <v>1</v>
      </c>
      <c r="D364">
        <v>456</v>
      </c>
      <c r="E364">
        <v>18253</v>
      </c>
      <c r="F364">
        <v>2</v>
      </c>
      <c r="G364" s="4" t="s">
        <v>93</v>
      </c>
      <c r="H364" s="4" t="s">
        <v>94</v>
      </c>
      <c r="I364">
        <v>10900</v>
      </c>
      <c r="J364" s="7">
        <f t="shared" si="16"/>
        <v>1.2493150684931507</v>
      </c>
      <c r="K364">
        <f t="shared" si="17"/>
        <v>14610.405701754386</v>
      </c>
      <c r="Q364" t="str">
        <f t="shared" si="18"/>
        <v>Cheaper in UK</v>
      </c>
    </row>
    <row r="365" spans="1:17" x14ac:dyDescent="0.3">
      <c r="A365" t="s">
        <v>4</v>
      </c>
      <c r="B365">
        <v>69</v>
      </c>
      <c r="C365" t="s">
        <v>1</v>
      </c>
      <c r="D365">
        <v>456</v>
      </c>
      <c r="E365">
        <v>21907</v>
      </c>
      <c r="F365">
        <v>2</v>
      </c>
      <c r="G365" s="4" t="s">
        <v>93</v>
      </c>
      <c r="H365" s="4" t="s">
        <v>94</v>
      </c>
      <c r="I365">
        <v>10900</v>
      </c>
      <c r="J365" s="7">
        <f t="shared" si="16"/>
        <v>1.2493150684931507</v>
      </c>
      <c r="K365">
        <f t="shared" si="17"/>
        <v>17535.208333333332</v>
      </c>
      <c r="Q365" t="str">
        <f t="shared" si="18"/>
        <v>Cheaper in UK</v>
      </c>
    </row>
    <row r="366" spans="1:17" x14ac:dyDescent="0.3">
      <c r="A366" t="s">
        <v>0</v>
      </c>
      <c r="B366">
        <v>69</v>
      </c>
      <c r="C366" t="s">
        <v>1</v>
      </c>
      <c r="D366">
        <v>91</v>
      </c>
      <c r="E366">
        <v>56779</v>
      </c>
      <c r="F366">
        <v>1</v>
      </c>
      <c r="G366" s="4" t="s">
        <v>85</v>
      </c>
      <c r="H366" s="4" t="s">
        <v>86</v>
      </c>
      <c r="I366">
        <v>10950</v>
      </c>
      <c r="J366" s="7">
        <f t="shared" si="16"/>
        <v>0.24931506849315069</v>
      </c>
      <c r="K366">
        <f t="shared" si="17"/>
        <v>227739.94505494504</v>
      </c>
      <c r="Q366" t="str">
        <f t="shared" si="18"/>
        <v>Cheaper in UK</v>
      </c>
    </row>
    <row r="367" spans="1:17" x14ac:dyDescent="0.3">
      <c r="A367" t="s">
        <v>95</v>
      </c>
      <c r="B367">
        <v>69</v>
      </c>
      <c r="C367" t="s">
        <v>1</v>
      </c>
      <c r="D367">
        <v>275</v>
      </c>
      <c r="E367">
        <v>7900</v>
      </c>
      <c r="F367">
        <v>1</v>
      </c>
      <c r="G367" s="4" t="s">
        <v>83</v>
      </c>
      <c r="H367" s="4" t="s">
        <v>84</v>
      </c>
      <c r="I367">
        <v>10990</v>
      </c>
      <c r="J367" s="7">
        <f t="shared" si="16"/>
        <v>0.75342465753424659</v>
      </c>
      <c r="K367">
        <f t="shared" si="17"/>
        <v>10485.454545454546</v>
      </c>
      <c r="Q367" t="str">
        <f t="shared" si="18"/>
        <v>Cheaper in UK</v>
      </c>
    </row>
    <row r="368" spans="1:17" x14ac:dyDescent="0.3">
      <c r="A368" t="s">
        <v>0</v>
      </c>
      <c r="B368">
        <v>69</v>
      </c>
      <c r="C368" t="s">
        <v>1</v>
      </c>
      <c r="D368">
        <v>397</v>
      </c>
      <c r="E368">
        <v>8700</v>
      </c>
      <c r="F368">
        <v>1</v>
      </c>
      <c r="G368" s="4" t="s">
        <v>83</v>
      </c>
      <c r="H368" s="4" t="s">
        <v>84</v>
      </c>
      <c r="I368">
        <v>10990</v>
      </c>
      <c r="J368" s="7">
        <f t="shared" si="16"/>
        <v>1.0876712328767124</v>
      </c>
      <c r="K368">
        <f t="shared" si="17"/>
        <v>7998.7405541561702</v>
      </c>
      <c r="Q368" t="str">
        <f t="shared" si="18"/>
        <v>Cheaper in UK</v>
      </c>
    </row>
    <row r="369" spans="1:17" x14ac:dyDescent="0.3">
      <c r="A369" t="s">
        <v>0</v>
      </c>
      <c r="B369">
        <v>69</v>
      </c>
      <c r="C369" t="s">
        <v>1</v>
      </c>
      <c r="D369">
        <v>670</v>
      </c>
      <c r="E369">
        <v>9000</v>
      </c>
      <c r="F369">
        <v>2</v>
      </c>
      <c r="G369" s="4" t="s">
        <v>96</v>
      </c>
      <c r="H369" s="4" t="s">
        <v>97</v>
      </c>
      <c r="I369">
        <v>11090</v>
      </c>
      <c r="J369" s="7">
        <f t="shared" si="16"/>
        <v>1.8356164383561644</v>
      </c>
      <c r="K369">
        <f t="shared" si="17"/>
        <v>4902.9850746268658</v>
      </c>
      <c r="Q369" t="str">
        <f t="shared" si="18"/>
        <v>Cheaper in UK</v>
      </c>
    </row>
    <row r="370" spans="1:17" x14ac:dyDescent="0.3">
      <c r="A370" t="s">
        <v>0</v>
      </c>
      <c r="B370">
        <v>69</v>
      </c>
      <c r="C370" t="s">
        <v>1</v>
      </c>
      <c r="D370">
        <v>640</v>
      </c>
      <c r="E370">
        <v>24300</v>
      </c>
      <c r="F370">
        <v>1</v>
      </c>
      <c r="G370" s="5" t="s">
        <v>464</v>
      </c>
      <c r="H370" s="4" t="s">
        <v>98</v>
      </c>
      <c r="I370">
        <v>11200</v>
      </c>
      <c r="J370" s="7">
        <f t="shared" si="16"/>
        <v>1.7534246575342465</v>
      </c>
      <c r="K370">
        <f t="shared" si="17"/>
        <v>13858.59375</v>
      </c>
      <c r="Q370" t="str">
        <f t="shared" si="18"/>
        <v>Cheaper in UK</v>
      </c>
    </row>
    <row r="371" spans="1:17" x14ac:dyDescent="0.3">
      <c r="A371" t="s">
        <v>0</v>
      </c>
      <c r="B371">
        <v>69</v>
      </c>
      <c r="C371" t="s">
        <v>1</v>
      </c>
      <c r="D371">
        <v>640</v>
      </c>
      <c r="E371">
        <v>16300</v>
      </c>
      <c r="F371">
        <v>1</v>
      </c>
      <c r="G371" s="5" t="s">
        <v>464</v>
      </c>
      <c r="H371" s="4" t="s">
        <v>98</v>
      </c>
      <c r="I371">
        <v>11600</v>
      </c>
      <c r="J371" s="7">
        <f t="shared" si="16"/>
        <v>1.7534246575342465</v>
      </c>
      <c r="K371">
        <f t="shared" si="17"/>
        <v>9296.09375</v>
      </c>
      <c r="Q371" t="str">
        <f t="shared" si="18"/>
        <v>Cheaper in UK</v>
      </c>
    </row>
    <row r="372" spans="1:17" x14ac:dyDescent="0.3">
      <c r="A372" t="s">
        <v>4</v>
      </c>
      <c r="B372">
        <v>69</v>
      </c>
      <c r="C372" t="s">
        <v>7</v>
      </c>
      <c r="D372">
        <v>366</v>
      </c>
      <c r="E372">
        <v>12610</v>
      </c>
      <c r="F372">
        <v>2</v>
      </c>
      <c r="G372" s="4" t="s">
        <v>62</v>
      </c>
      <c r="H372" s="4" t="s">
        <v>63</v>
      </c>
      <c r="I372">
        <v>11850</v>
      </c>
      <c r="J372" s="7">
        <f t="shared" si="16"/>
        <v>1.0027397260273974</v>
      </c>
      <c r="K372">
        <f t="shared" si="17"/>
        <v>12575.546448087431</v>
      </c>
      <c r="Q372" t="str">
        <f t="shared" si="18"/>
        <v>More Expensive</v>
      </c>
    </row>
    <row r="373" spans="1:17" x14ac:dyDescent="0.3">
      <c r="A373" t="s">
        <v>4</v>
      </c>
      <c r="B373">
        <v>69</v>
      </c>
      <c r="C373" t="s">
        <v>1</v>
      </c>
      <c r="D373">
        <v>91</v>
      </c>
      <c r="E373">
        <v>56779</v>
      </c>
      <c r="F373">
        <v>2</v>
      </c>
      <c r="G373" s="4" t="s">
        <v>99</v>
      </c>
      <c r="H373" s="5" t="s">
        <v>445</v>
      </c>
      <c r="I373">
        <v>11890</v>
      </c>
      <c r="J373" s="7">
        <f t="shared" si="16"/>
        <v>0.24931506849315069</v>
      </c>
      <c r="K373">
        <f t="shared" si="17"/>
        <v>227739.94505494504</v>
      </c>
      <c r="Q373" t="str">
        <f t="shared" si="18"/>
        <v>Cheaper in UK</v>
      </c>
    </row>
    <row r="374" spans="1:17" x14ac:dyDescent="0.3">
      <c r="A374" t="s">
        <v>4</v>
      </c>
      <c r="B374">
        <v>69</v>
      </c>
      <c r="C374" t="s">
        <v>7</v>
      </c>
      <c r="D374">
        <v>366</v>
      </c>
      <c r="E374">
        <v>10000</v>
      </c>
      <c r="F374">
        <v>1</v>
      </c>
      <c r="G374" s="4" t="s">
        <v>51</v>
      </c>
      <c r="H374" s="4" t="s">
        <v>52</v>
      </c>
      <c r="I374">
        <v>11900</v>
      </c>
      <c r="J374" s="7">
        <f t="shared" si="16"/>
        <v>1.0027397260273974</v>
      </c>
      <c r="K374">
        <f t="shared" si="17"/>
        <v>9972.6775956284146</v>
      </c>
      <c r="Q374" t="str">
        <f t="shared" si="18"/>
        <v>More Expensive</v>
      </c>
    </row>
    <row r="375" spans="1:17" x14ac:dyDescent="0.3">
      <c r="A375" t="s">
        <v>4</v>
      </c>
      <c r="B375">
        <v>69</v>
      </c>
      <c r="C375" t="s">
        <v>1</v>
      </c>
      <c r="D375">
        <v>762</v>
      </c>
      <c r="E375">
        <v>26000</v>
      </c>
      <c r="F375">
        <v>2</v>
      </c>
      <c r="G375" s="4" t="s">
        <v>11</v>
      </c>
      <c r="H375" s="4" t="s">
        <v>12</v>
      </c>
      <c r="I375">
        <v>11970</v>
      </c>
      <c r="J375" s="7">
        <f t="shared" si="16"/>
        <v>2.0876712328767124</v>
      </c>
      <c r="K375">
        <f t="shared" si="17"/>
        <v>12454.068241469815</v>
      </c>
      <c r="Q375" t="str">
        <f t="shared" si="18"/>
        <v>Cheaper in UK</v>
      </c>
    </row>
    <row r="376" spans="1:17" x14ac:dyDescent="0.3">
      <c r="A376" t="s">
        <v>0</v>
      </c>
      <c r="B376">
        <v>69</v>
      </c>
      <c r="C376" t="s">
        <v>7</v>
      </c>
      <c r="D376">
        <v>275</v>
      </c>
      <c r="E376">
        <v>4981</v>
      </c>
      <c r="F376">
        <v>2</v>
      </c>
      <c r="G376" s="5" t="s">
        <v>465</v>
      </c>
      <c r="H376" s="4" t="s">
        <v>100</v>
      </c>
      <c r="I376">
        <v>12279</v>
      </c>
      <c r="J376" s="7">
        <f t="shared" si="16"/>
        <v>0.75342465753424659</v>
      </c>
      <c r="K376">
        <f t="shared" si="17"/>
        <v>6611.1454545454544</v>
      </c>
      <c r="Q376" t="str">
        <f t="shared" si="18"/>
        <v>More Expensive</v>
      </c>
    </row>
    <row r="377" spans="1:17" x14ac:dyDescent="0.3">
      <c r="A377" t="s">
        <v>10</v>
      </c>
      <c r="B377">
        <v>69</v>
      </c>
      <c r="C377" t="s">
        <v>1</v>
      </c>
      <c r="D377">
        <v>91</v>
      </c>
      <c r="E377">
        <v>56779</v>
      </c>
      <c r="F377">
        <v>1</v>
      </c>
      <c r="G377" s="4" t="s">
        <v>85</v>
      </c>
      <c r="H377" s="4" t="s">
        <v>86</v>
      </c>
      <c r="I377">
        <v>12450</v>
      </c>
      <c r="J377" s="7">
        <f t="shared" si="16"/>
        <v>0.24931506849315069</v>
      </c>
      <c r="K377">
        <f t="shared" si="17"/>
        <v>227739.94505494504</v>
      </c>
      <c r="Q377" t="str">
        <f t="shared" si="18"/>
        <v>Cheaper in UK</v>
      </c>
    </row>
    <row r="378" spans="1:17" x14ac:dyDescent="0.3">
      <c r="A378" t="s">
        <v>10</v>
      </c>
      <c r="B378">
        <v>69</v>
      </c>
      <c r="C378" t="s">
        <v>1</v>
      </c>
      <c r="D378">
        <v>91</v>
      </c>
      <c r="E378">
        <v>56779</v>
      </c>
      <c r="F378">
        <v>2</v>
      </c>
      <c r="G378" s="4" t="s">
        <v>87</v>
      </c>
      <c r="H378" s="4" t="s">
        <v>88</v>
      </c>
      <c r="I378">
        <v>12450</v>
      </c>
      <c r="J378" s="7">
        <f t="shared" si="16"/>
        <v>0.24931506849315069</v>
      </c>
      <c r="K378">
        <f t="shared" si="17"/>
        <v>227739.94505494504</v>
      </c>
      <c r="Q378" t="str">
        <f t="shared" si="18"/>
        <v>Cheaper in UK</v>
      </c>
    </row>
    <row r="379" spans="1:17" x14ac:dyDescent="0.3">
      <c r="A379" t="s">
        <v>4</v>
      </c>
      <c r="B379">
        <v>69</v>
      </c>
      <c r="C379" t="s">
        <v>7</v>
      </c>
      <c r="D379">
        <v>91</v>
      </c>
      <c r="E379">
        <v>56779</v>
      </c>
      <c r="F379">
        <v>2</v>
      </c>
      <c r="G379" s="4" t="s">
        <v>101</v>
      </c>
      <c r="H379" s="4" t="s">
        <v>102</v>
      </c>
      <c r="I379">
        <v>12890</v>
      </c>
      <c r="J379" s="7">
        <f t="shared" si="16"/>
        <v>0.24931506849315069</v>
      </c>
      <c r="K379">
        <f t="shared" si="17"/>
        <v>227739.94505494504</v>
      </c>
      <c r="Q379" t="str">
        <f t="shared" si="18"/>
        <v>More Expensive</v>
      </c>
    </row>
    <row r="380" spans="1:17" x14ac:dyDescent="0.3">
      <c r="A380" t="s">
        <v>0</v>
      </c>
      <c r="B380">
        <v>69</v>
      </c>
      <c r="C380" t="s">
        <v>1</v>
      </c>
      <c r="D380">
        <v>1217</v>
      </c>
      <c r="E380">
        <v>47983</v>
      </c>
      <c r="F380">
        <v>1</v>
      </c>
      <c r="G380" s="4" t="s">
        <v>43</v>
      </c>
      <c r="H380" s="4" t="s">
        <v>44</v>
      </c>
      <c r="I380">
        <v>12900</v>
      </c>
      <c r="J380" s="7">
        <f t="shared" si="16"/>
        <v>3.3342465753424659</v>
      </c>
      <c r="K380">
        <f t="shared" si="17"/>
        <v>14390.957271980278</v>
      </c>
      <c r="Q380" t="str">
        <f t="shared" si="18"/>
        <v>Cheaper in UK</v>
      </c>
    </row>
    <row r="381" spans="1:17" x14ac:dyDescent="0.3">
      <c r="A381" t="s">
        <v>0</v>
      </c>
      <c r="B381">
        <v>69</v>
      </c>
      <c r="C381" t="s">
        <v>1</v>
      </c>
      <c r="D381">
        <v>91</v>
      </c>
      <c r="E381">
        <v>56779</v>
      </c>
      <c r="F381">
        <v>1</v>
      </c>
      <c r="G381" s="4" t="s">
        <v>103</v>
      </c>
      <c r="H381" s="4" t="s">
        <v>104</v>
      </c>
      <c r="I381">
        <v>15900</v>
      </c>
      <c r="J381" s="7">
        <f t="shared" si="16"/>
        <v>0.24931506849315069</v>
      </c>
      <c r="K381">
        <f t="shared" si="17"/>
        <v>227739.94505494504</v>
      </c>
      <c r="Q381" t="str">
        <f t="shared" si="18"/>
        <v>Cheaper in UK</v>
      </c>
    </row>
  </sheetData>
  <autoFilter ref="C1:C381" xr:uid="{7BC3A2AE-95C4-4355-9CEC-22BDCDAC1F61}"/>
  <sortState xmlns:xlrd2="http://schemas.microsoft.com/office/spreadsheetml/2017/richdata2" ref="A2:I381">
    <sortCondition ref="I2:I38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8D1F-43CE-4230-9250-FC689D9BB077}">
  <dimension ref="A3:B7"/>
  <sheetViews>
    <sheetView workbookViewId="0">
      <selection activeCell="S22" sqref="S22"/>
    </sheetView>
  </sheetViews>
  <sheetFormatPr defaultRowHeight="14.4" x14ac:dyDescent="0.3"/>
  <cols>
    <col min="1" max="1" width="12.44140625" bestFit="1" customWidth="1"/>
    <col min="2" max="2" width="16.21875" bestFit="1" customWidth="1"/>
    <col min="3" max="3" width="7" bestFit="1" customWidth="1"/>
    <col min="4" max="7" width="6" bestFit="1" customWidth="1"/>
    <col min="8" max="8" width="7" bestFit="1" customWidth="1"/>
    <col min="9" max="9" width="6" bestFit="1" customWidth="1"/>
    <col min="10" max="10" width="7" bestFit="1" customWidth="1"/>
    <col min="11" max="11" width="6"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2" x14ac:dyDescent="0.3">
      <c r="A3" s="6" t="s">
        <v>492</v>
      </c>
      <c r="B3" t="s">
        <v>494</v>
      </c>
    </row>
    <row r="4" spans="1:2" x14ac:dyDescent="0.3">
      <c r="A4" s="8" t="s">
        <v>10</v>
      </c>
      <c r="B4" s="14">
        <v>7523279</v>
      </c>
    </row>
    <row r="5" spans="1:2" x14ac:dyDescent="0.3">
      <c r="A5" s="10" t="s">
        <v>7</v>
      </c>
      <c r="B5" s="14">
        <v>257000</v>
      </c>
    </row>
    <row r="6" spans="1:2" x14ac:dyDescent="0.3">
      <c r="A6" s="10" t="s">
        <v>1</v>
      </c>
      <c r="B6" s="14">
        <v>7266279</v>
      </c>
    </row>
    <row r="7" spans="1:2" x14ac:dyDescent="0.3">
      <c r="A7" s="8" t="s">
        <v>493</v>
      </c>
      <c r="B7" s="14">
        <v>7523279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32F4-2B60-4B80-AFDA-E3AB277DFE5A}">
  <dimension ref="A3:B7"/>
  <sheetViews>
    <sheetView workbookViewId="0">
      <selection activeCell="M2" sqref="M2"/>
    </sheetView>
  </sheetViews>
  <sheetFormatPr defaultRowHeight="14.4" x14ac:dyDescent="0.3"/>
  <cols>
    <col min="1" max="1" width="12.44140625" bestFit="1" customWidth="1"/>
    <col min="2" max="3" width="19.77734375" bestFit="1" customWidth="1"/>
    <col min="4" max="7" width="6" bestFit="1" customWidth="1"/>
    <col min="8" max="8" width="7" bestFit="1" customWidth="1"/>
    <col min="9" max="9" width="6" bestFit="1" customWidth="1"/>
    <col min="10" max="10" width="7" bestFit="1" customWidth="1"/>
    <col min="11" max="11" width="6"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2" x14ac:dyDescent="0.3">
      <c r="A3" s="6" t="s">
        <v>492</v>
      </c>
      <c r="B3" t="s">
        <v>508</v>
      </c>
    </row>
    <row r="4" spans="1:2" x14ac:dyDescent="0.3">
      <c r="A4" s="8" t="s">
        <v>10</v>
      </c>
      <c r="B4" s="14">
        <v>17976.150319863013</v>
      </c>
    </row>
    <row r="5" spans="1:2" x14ac:dyDescent="0.3">
      <c r="A5" s="10" t="s">
        <v>7</v>
      </c>
      <c r="B5" s="14">
        <v>10345.525695577311</v>
      </c>
    </row>
    <row r="6" spans="1:2" x14ac:dyDescent="0.3">
      <c r="A6" s="10" t="s">
        <v>1</v>
      </c>
      <c r="B6" s="14">
        <v>18218.392371427639</v>
      </c>
    </row>
    <row r="7" spans="1:2" x14ac:dyDescent="0.3">
      <c r="A7" s="8" t="s">
        <v>493</v>
      </c>
      <c r="B7" s="14">
        <v>17976.150319863013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758A-8BA7-4FBA-AA83-7B352CA05AC7}">
  <dimension ref="A3:C7"/>
  <sheetViews>
    <sheetView workbookViewId="0">
      <selection activeCell="A3" sqref="A3"/>
    </sheetView>
  </sheetViews>
  <sheetFormatPr defaultRowHeight="14.4" x14ac:dyDescent="0.3"/>
  <cols>
    <col min="1" max="1" width="12.6640625" bestFit="1" customWidth="1"/>
    <col min="2" max="2" width="15.5546875" bestFit="1" customWidth="1"/>
    <col min="3" max="3" width="10.5546875" bestFit="1" customWidth="1"/>
    <col min="4" max="4" width="5.33203125" bestFit="1" customWidth="1"/>
    <col min="5" max="5" width="4.21875" bestFit="1" customWidth="1"/>
    <col min="6" max="6" width="10.5546875" bestFit="1" customWidth="1"/>
    <col min="7" max="7" width="11.5546875" bestFit="1" customWidth="1"/>
    <col min="8" max="8" width="12.6640625" bestFit="1" customWidth="1"/>
    <col min="9" max="9" width="11.5546875" bestFit="1" customWidth="1"/>
    <col min="10" max="10" width="17.33203125" bestFit="1" customWidth="1"/>
    <col min="11" max="11" width="16.109375"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3" x14ac:dyDescent="0.3">
      <c r="A3" s="6" t="s">
        <v>509</v>
      </c>
      <c r="B3" s="6" t="s">
        <v>496</v>
      </c>
    </row>
    <row r="4" spans="1:3" x14ac:dyDescent="0.3">
      <c r="A4" s="6" t="s">
        <v>492</v>
      </c>
      <c r="B4" t="s">
        <v>10</v>
      </c>
      <c r="C4" t="s">
        <v>493</v>
      </c>
    </row>
    <row r="5" spans="1:3" x14ac:dyDescent="0.3">
      <c r="A5" s="8" t="s">
        <v>7</v>
      </c>
      <c r="B5" s="14">
        <v>2</v>
      </c>
      <c r="C5" s="14">
        <v>2</v>
      </c>
    </row>
    <row r="6" spans="1:3" x14ac:dyDescent="0.3">
      <c r="A6" s="8" t="s">
        <v>1</v>
      </c>
      <c r="B6" s="14">
        <v>63</v>
      </c>
      <c r="C6" s="14">
        <v>63</v>
      </c>
    </row>
    <row r="7" spans="1:3" x14ac:dyDescent="0.3">
      <c r="A7" s="8" t="s">
        <v>493</v>
      </c>
      <c r="B7" s="14">
        <v>65</v>
      </c>
      <c r="C7" s="14">
        <v>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4403-3F92-47CD-A7C3-F8D2EC6B9CEF}">
  <dimension ref="A3:B12"/>
  <sheetViews>
    <sheetView workbookViewId="0">
      <selection activeCell="M14" sqref="M14"/>
    </sheetView>
  </sheetViews>
  <sheetFormatPr defaultRowHeight="14.4" x14ac:dyDescent="0.3"/>
  <cols>
    <col min="1" max="1" width="12.44140625" bestFit="1" customWidth="1"/>
    <col min="2" max="2" width="19.109375" bestFit="1" customWidth="1"/>
    <col min="3" max="3" width="16.88671875" bestFit="1" customWidth="1"/>
    <col min="4" max="4" width="23.109375" customWidth="1"/>
    <col min="5" max="5" width="4" bestFit="1" customWidth="1"/>
    <col min="6" max="6" width="10.5546875" bestFit="1" customWidth="1"/>
    <col min="7" max="7" width="6" bestFit="1" customWidth="1"/>
    <col min="8" max="8" width="7" bestFit="1" customWidth="1"/>
    <col min="9" max="9" width="6" bestFit="1" customWidth="1"/>
    <col min="10" max="10" width="7" bestFit="1" customWidth="1"/>
    <col min="11" max="11" width="6"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2" x14ac:dyDescent="0.3">
      <c r="A3" s="6" t="s">
        <v>492</v>
      </c>
      <c r="B3" t="s">
        <v>505</v>
      </c>
    </row>
    <row r="4" spans="1:2" x14ac:dyDescent="0.3">
      <c r="A4" s="8" t="s">
        <v>7</v>
      </c>
      <c r="B4" s="11">
        <v>128500</v>
      </c>
    </row>
    <row r="5" spans="1:2" x14ac:dyDescent="0.3">
      <c r="A5" s="10">
        <v>69</v>
      </c>
      <c r="B5" s="11">
        <v>75000</v>
      </c>
    </row>
    <row r="6" spans="1:2" x14ac:dyDescent="0.3">
      <c r="A6" s="10">
        <v>101</v>
      </c>
      <c r="B6" s="11">
        <v>182000</v>
      </c>
    </row>
    <row r="7" spans="1:2" x14ac:dyDescent="0.3">
      <c r="A7" s="8" t="s">
        <v>1</v>
      </c>
      <c r="B7" s="11">
        <v>115337.76190476191</v>
      </c>
    </row>
    <row r="8" spans="1:2" x14ac:dyDescent="0.3">
      <c r="A8" s="10">
        <v>69</v>
      </c>
      <c r="B8" s="11">
        <v>110834.30952380953</v>
      </c>
    </row>
    <row r="9" spans="1:2" x14ac:dyDescent="0.3">
      <c r="A9" s="10">
        <v>84</v>
      </c>
      <c r="B9" s="11">
        <v>79000</v>
      </c>
    </row>
    <row r="10" spans="1:2" x14ac:dyDescent="0.3">
      <c r="A10" s="10">
        <v>99</v>
      </c>
      <c r="B10" s="11">
        <v>123428</v>
      </c>
    </row>
    <row r="11" spans="1:2" x14ac:dyDescent="0.3">
      <c r="A11" s="10">
        <v>101</v>
      </c>
      <c r="B11" s="11">
        <v>136163.6</v>
      </c>
    </row>
    <row r="12" spans="1:2" x14ac:dyDescent="0.3">
      <c r="A12" s="8" t="s">
        <v>493</v>
      </c>
      <c r="B12" s="11">
        <v>115742.75384615385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9ACD-DB86-4EC9-89FD-61E9F0055B96}">
  <dimension ref="A3:B9"/>
  <sheetViews>
    <sheetView workbookViewId="0">
      <selection activeCell="L14" sqref="L14"/>
    </sheetView>
  </sheetViews>
  <sheetFormatPr defaultRowHeight="14.4" x14ac:dyDescent="0.3"/>
  <cols>
    <col min="1" max="1" width="12.44140625" bestFit="1" customWidth="1"/>
    <col min="2" max="2" width="22.21875" bestFit="1" customWidth="1"/>
    <col min="3" max="3" width="20.21875" bestFit="1" customWidth="1"/>
    <col min="4" max="4" width="23.109375" customWidth="1"/>
    <col min="5" max="5" width="4" bestFit="1" customWidth="1"/>
    <col min="6" max="6" width="10.5546875" bestFit="1" customWidth="1"/>
    <col min="7" max="7" width="6" bestFit="1" customWidth="1"/>
    <col min="8" max="8" width="7" bestFit="1" customWidth="1"/>
    <col min="9" max="9" width="6" bestFit="1" customWidth="1"/>
    <col min="10" max="10" width="7" bestFit="1" customWidth="1"/>
    <col min="11" max="11" width="6"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2" x14ac:dyDescent="0.3">
      <c r="A3" s="6" t="s">
        <v>492</v>
      </c>
      <c r="B3" t="s">
        <v>506</v>
      </c>
    </row>
    <row r="4" spans="1:2" x14ac:dyDescent="0.3">
      <c r="A4" s="8" t="s">
        <v>10</v>
      </c>
      <c r="B4" s="14">
        <v>65</v>
      </c>
    </row>
    <row r="5" spans="1:2" x14ac:dyDescent="0.3">
      <c r="A5" s="10">
        <v>1</v>
      </c>
      <c r="B5" s="14">
        <v>35</v>
      </c>
    </row>
    <row r="6" spans="1:2" x14ac:dyDescent="0.3">
      <c r="A6" s="10">
        <v>2</v>
      </c>
      <c r="B6" s="14">
        <v>26</v>
      </c>
    </row>
    <row r="7" spans="1:2" x14ac:dyDescent="0.3">
      <c r="A7" s="10">
        <v>3</v>
      </c>
      <c r="B7" s="14">
        <v>3</v>
      </c>
    </row>
    <row r="8" spans="1:2" x14ac:dyDescent="0.3">
      <c r="A8" s="10">
        <v>4</v>
      </c>
      <c r="B8" s="14">
        <v>1</v>
      </c>
    </row>
    <row r="9" spans="1:2" x14ac:dyDescent="0.3">
      <c r="A9" s="8" t="s">
        <v>493</v>
      </c>
      <c r="B9" s="14">
        <v>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3784-5420-4000-B9AC-1F1F78D95A8A}">
  <dimension ref="A3:C5"/>
  <sheetViews>
    <sheetView workbookViewId="0">
      <selection activeCell="P14" sqref="P14"/>
    </sheetView>
  </sheetViews>
  <sheetFormatPr defaultRowHeight="14.4" x14ac:dyDescent="0.3"/>
  <cols>
    <col min="1" max="1" width="12.44140625" bestFit="1" customWidth="1"/>
    <col min="2" max="2" width="11.33203125" bestFit="1" customWidth="1"/>
    <col min="3" max="3" width="12.33203125" bestFit="1" customWidth="1"/>
    <col min="4" max="4" width="23.109375" customWidth="1"/>
    <col min="5" max="5" width="4" bestFit="1" customWidth="1"/>
    <col min="6" max="6" width="10.5546875" bestFit="1" customWidth="1"/>
    <col min="7" max="7" width="6" bestFit="1" customWidth="1"/>
    <col min="8" max="8" width="7" bestFit="1" customWidth="1"/>
    <col min="9" max="9" width="6" bestFit="1" customWidth="1"/>
    <col min="10" max="10" width="7" bestFit="1" customWidth="1"/>
    <col min="11" max="11" width="6" bestFit="1" customWidth="1"/>
    <col min="12" max="12" width="7" bestFit="1" customWidth="1"/>
    <col min="13" max="15" width="6" bestFit="1" customWidth="1"/>
    <col min="16" max="16" width="5" bestFit="1" customWidth="1"/>
    <col min="17" max="17" width="7" bestFit="1" customWidth="1"/>
    <col min="18" max="18" width="6" bestFit="1" customWidth="1"/>
    <col min="19" max="19" width="7" bestFit="1" customWidth="1"/>
    <col min="20" max="20" width="6" bestFit="1" customWidth="1"/>
    <col min="21" max="22" width="7" bestFit="1" customWidth="1"/>
    <col min="23" max="28" width="6" bestFit="1" customWidth="1"/>
    <col min="29" max="33" width="7" bestFit="1" customWidth="1"/>
    <col min="34" max="34" width="6" bestFit="1" customWidth="1"/>
    <col min="35" max="35" width="7" bestFit="1" customWidth="1"/>
    <col min="36" max="36" width="6" bestFit="1" customWidth="1"/>
    <col min="37" max="41" width="7" bestFit="1" customWidth="1"/>
    <col min="42" max="42" width="6" bestFit="1" customWidth="1"/>
    <col min="43" max="43" width="7" bestFit="1" customWidth="1"/>
    <col min="44" max="44" width="6" bestFit="1" customWidth="1"/>
    <col min="45" max="64" width="7" bestFit="1" customWidth="1"/>
    <col min="65" max="65" width="8" bestFit="1" customWidth="1"/>
    <col min="66" max="68" width="7" bestFit="1" customWidth="1"/>
    <col min="69" max="69" width="8" bestFit="1" customWidth="1"/>
    <col min="70" max="76" width="7" bestFit="1" customWidth="1"/>
    <col min="77" max="78" width="8" bestFit="1" customWidth="1"/>
    <col min="79" max="80" width="7" bestFit="1" customWidth="1"/>
    <col min="81" max="81" width="8" bestFit="1" customWidth="1"/>
    <col min="82" max="82" width="7" bestFit="1" customWidth="1"/>
    <col min="83" max="84" width="8" bestFit="1" customWidth="1"/>
    <col min="85" max="85" width="7" bestFit="1" customWidth="1"/>
    <col min="86" max="86" width="8" bestFit="1" customWidth="1"/>
    <col min="87" max="87" width="6" bestFit="1" customWidth="1"/>
    <col min="88" max="88" width="7" bestFit="1" customWidth="1"/>
    <col min="89" max="89" width="8" bestFit="1" customWidth="1"/>
    <col min="90" max="91" width="7" bestFit="1" customWidth="1"/>
    <col min="92" max="92" width="8" bestFit="1" customWidth="1"/>
    <col min="93" max="93" width="7" bestFit="1" customWidth="1"/>
    <col min="94" max="94" width="10.5546875" bestFit="1" customWidth="1"/>
  </cols>
  <sheetData>
    <row r="3" spans="1:3" x14ac:dyDescent="0.3">
      <c r="A3" s="6" t="s">
        <v>492</v>
      </c>
      <c r="B3" t="s">
        <v>495</v>
      </c>
      <c r="C3" t="s">
        <v>507</v>
      </c>
    </row>
    <row r="4" spans="1:3" x14ac:dyDescent="0.3">
      <c r="A4" s="8" t="s">
        <v>10</v>
      </c>
      <c r="B4" s="14">
        <v>341645</v>
      </c>
      <c r="C4" s="12">
        <v>1</v>
      </c>
    </row>
    <row r="5" spans="1:3" x14ac:dyDescent="0.3">
      <c r="A5" s="8" t="s">
        <v>493</v>
      </c>
      <c r="B5" s="14">
        <v>341645</v>
      </c>
      <c r="C5" s="1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FEF8-EB64-4FE3-A9A9-323D0EA8104B}">
  <dimension ref="A1"/>
  <sheetViews>
    <sheetView tabSelected="1" workbookViewId="0">
      <selection activeCell="U21" sqref="U21"/>
    </sheetView>
  </sheetViews>
  <sheetFormatPr defaultRowHeight="14.4" x14ac:dyDescent="0.3"/>
  <cols>
    <col min="1" max="16" width="8.88671875" style="13"/>
    <col min="17" max="17" width="12" style="13" customWidth="1"/>
    <col min="18" max="18" width="11.88671875" style="13" customWidth="1"/>
    <col min="19"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Used_fiat_500_in_Italy_dataset</vt:lpstr>
      <vt:lpstr>Mileage by brand</vt:lpstr>
      <vt:lpstr>Mileage by year</vt:lpstr>
      <vt:lpstr>Years driven by model</vt:lpstr>
      <vt:lpstr>Kilometer by Engine Power</vt:lpstr>
      <vt:lpstr>Owner change</vt:lpstr>
      <vt:lpstr>Cost by brand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chinwe joseph</cp:lastModifiedBy>
  <dcterms:created xsi:type="dcterms:W3CDTF">2025-05-30T13:52:19Z</dcterms:created>
  <dcterms:modified xsi:type="dcterms:W3CDTF">2025-06-04T22:26:29Z</dcterms:modified>
</cp:coreProperties>
</file>